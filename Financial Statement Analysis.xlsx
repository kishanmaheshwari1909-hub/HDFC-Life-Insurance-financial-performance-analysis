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383403deb1b899a/Desktop/Financial Modelling/"/>
    </mc:Choice>
  </mc:AlternateContent>
  <xr:revisionPtr revIDLastSave="56" documentId="6_{48EDEB2D-206E-465C-9467-8F9CDDA43726}" xr6:coauthVersionLast="47" xr6:coauthVersionMax="47" xr10:uidLastSave="{094CBC52-0E6A-4403-ABE4-8AAFFBDF8CD7}"/>
  <bookViews>
    <workbookView xWindow="-108" yWindow="-108" windowWidth="23256" windowHeight="12456" xr2:uid="{00000000-000D-0000-FFFF-FFFF00000000}"/>
  </bookViews>
  <sheets>
    <sheet name="Basic Info" sheetId="4" r:id="rId1"/>
    <sheet name="Income Statement" sheetId="1" r:id="rId2"/>
    <sheet name="Balance Sheet" sheetId="2" r:id="rId3"/>
    <sheet name="Comp. Statement" sheetId="3" r:id="rId4"/>
    <sheet name="Common Size" sheetId="8" r:id="rId5"/>
    <sheet name="Trend Analysis" sheetId="5" r:id="rId6"/>
    <sheet name="Ratios" sheetId="12" r:id="rId7"/>
    <sheet name="Dashboard" sheetId="11" r:id="rId8"/>
  </sheets>
  <definedNames>
    <definedName name="_xlchart.v1.0" hidden="1">'Income Statement'!$B$1</definedName>
    <definedName name="_xlchart.v1.1" hidden="1">'Income Statement'!$C$1</definedName>
    <definedName name="_xlchart.v1.10" hidden="1">'Income Statement'!$L$1</definedName>
    <definedName name="_xlchart.v1.11" hidden="1">('Income Statement'!$A$2:$A$4,'Income Statement'!$A$10)</definedName>
    <definedName name="_xlchart.v1.12" hidden="1">('Income Statement'!$B$2:$B$4,'Income Statement'!$B$10)</definedName>
    <definedName name="_xlchart.v1.13" hidden="1">('Income Statement'!$C$2:$C$4,'Income Statement'!$C$10)</definedName>
    <definedName name="_xlchart.v1.14" hidden="1">('Income Statement'!$D$2:$D$4,'Income Statement'!$D$10)</definedName>
    <definedName name="_xlchart.v1.15" hidden="1">('Income Statement'!$E$2:$E$4,'Income Statement'!$E$10)</definedName>
    <definedName name="_xlchart.v1.16" hidden="1">('Income Statement'!$F$2:$F$4,'Income Statement'!$F$10)</definedName>
    <definedName name="_xlchart.v1.17" hidden="1">('Income Statement'!$G$2:$G$4,'Income Statement'!$G$10)</definedName>
    <definedName name="_xlchart.v1.18" hidden="1">('Income Statement'!$H$2:$H$4,'Income Statement'!$H$10)</definedName>
    <definedName name="_xlchart.v1.19" hidden="1">('Income Statement'!$I$2:$I$4,'Income Statement'!$I$10)</definedName>
    <definedName name="_xlchart.v1.2" hidden="1">'Income Statement'!$D$1</definedName>
    <definedName name="_xlchart.v1.20" hidden="1">('Income Statement'!$J$2:$J$4,'Income Statement'!$J$10)</definedName>
    <definedName name="_xlchart.v1.21" hidden="1">('Income Statement'!$K$2:$K$4,'Income Statement'!$K$10)</definedName>
    <definedName name="_xlchart.v1.22" hidden="1">('Income Statement'!$L$2:$L$4,'Income Statement'!$L$10)</definedName>
    <definedName name="_xlchart.v1.3" hidden="1">'Income Statement'!$E$1</definedName>
    <definedName name="_xlchart.v1.4" hidden="1">'Income Statement'!$F$1</definedName>
    <definedName name="_xlchart.v1.5" hidden="1">'Income Statement'!$G$1</definedName>
    <definedName name="_xlchart.v1.6" hidden="1">'Income Statement'!$H$1</definedName>
    <definedName name="_xlchart.v1.7" hidden="1">'Income Statement'!$I$1</definedName>
    <definedName name="_xlchart.v1.8" hidden="1">'Income Statement'!$J$1</definedName>
    <definedName name="_xlchart.v1.9" hidden="1">'Income Statement'!$K$1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6" i="12" l="1"/>
  <c r="M17" i="12"/>
  <c r="M18" i="12"/>
  <c r="M19" i="12"/>
  <c r="M20" i="12"/>
  <c r="M21" i="12"/>
  <c r="M22" i="12"/>
  <c r="M23" i="12"/>
  <c r="M24" i="12"/>
  <c r="M25" i="12"/>
  <c r="M15" i="12"/>
  <c r="H17" i="12"/>
  <c r="H18" i="12"/>
  <c r="H19" i="12"/>
  <c r="H20" i="12"/>
  <c r="H21" i="12"/>
  <c r="H22" i="12"/>
  <c r="H23" i="12"/>
  <c r="H24" i="12"/>
  <c r="H25" i="12"/>
  <c r="H16" i="12"/>
  <c r="C25" i="12"/>
  <c r="B25" i="12"/>
  <c r="B24" i="12"/>
  <c r="D24" i="12" s="1"/>
  <c r="B23" i="12"/>
  <c r="D23" i="12" s="1"/>
  <c r="B22" i="12"/>
  <c r="D22" i="12" s="1"/>
  <c r="B21" i="12"/>
  <c r="D21" i="12" s="1"/>
  <c r="B20" i="12"/>
  <c r="D20" i="12" s="1"/>
  <c r="B19" i="12"/>
  <c r="D19" i="12" s="1"/>
  <c r="B18" i="12"/>
  <c r="D18" i="12" s="1"/>
  <c r="B17" i="12"/>
  <c r="D17" i="12" s="1"/>
  <c r="B16" i="12"/>
  <c r="D16" i="12" s="1"/>
  <c r="B15" i="12"/>
  <c r="D15" i="12" s="1"/>
  <c r="A16" i="12"/>
  <c r="A17" i="12" s="1"/>
  <c r="A18" i="12" s="1"/>
  <c r="A19" i="12" s="1"/>
  <c r="A20" i="12" s="1"/>
  <c r="A21" i="12" s="1"/>
  <c r="A22" i="12" s="1"/>
  <c r="A23" i="12" s="1"/>
  <c r="A24" i="12" s="1"/>
  <c r="A25" i="12" s="1"/>
  <c r="H12" i="12"/>
  <c r="G12" i="12"/>
  <c r="H11" i="12"/>
  <c r="G11" i="12"/>
  <c r="H10" i="12"/>
  <c r="G10" i="12"/>
  <c r="H9" i="12"/>
  <c r="G9" i="12"/>
  <c r="I9" i="12" s="1"/>
  <c r="H8" i="12"/>
  <c r="G8" i="12"/>
  <c r="I8" i="12" s="1"/>
  <c r="H7" i="12"/>
  <c r="G7" i="12"/>
  <c r="H6" i="12"/>
  <c r="G6" i="12"/>
  <c r="H5" i="12"/>
  <c r="G5" i="12"/>
  <c r="I5" i="12" s="1"/>
  <c r="H4" i="12"/>
  <c r="I4" i="12" s="1"/>
  <c r="G4" i="12"/>
  <c r="H3" i="12"/>
  <c r="G3" i="12"/>
  <c r="D12" i="12"/>
  <c r="C12" i="12"/>
  <c r="E12" i="12" s="1"/>
  <c r="D11" i="12"/>
  <c r="C11" i="12"/>
  <c r="D10" i="12"/>
  <c r="C10" i="12"/>
  <c r="E10" i="12" s="1"/>
  <c r="D9" i="12"/>
  <c r="C9" i="12"/>
  <c r="E9" i="12" s="1"/>
  <c r="D8" i="12"/>
  <c r="C8" i="12"/>
  <c r="D7" i="12"/>
  <c r="C7" i="12"/>
  <c r="D6" i="12"/>
  <c r="C6" i="12"/>
  <c r="E6" i="12" s="1"/>
  <c r="D5" i="12"/>
  <c r="C5" i="12"/>
  <c r="D4" i="12"/>
  <c r="C4" i="12"/>
  <c r="E4" i="12" s="1"/>
  <c r="C3" i="12"/>
  <c r="D3" i="12"/>
  <c r="B12" i="12"/>
  <c r="B11" i="12"/>
  <c r="B10" i="12"/>
  <c r="B9" i="12"/>
  <c r="B8" i="12"/>
  <c r="B7" i="12"/>
  <c r="B6" i="12"/>
  <c r="B5" i="12"/>
  <c r="B4" i="12"/>
  <c r="B3" i="12"/>
  <c r="A4" i="12"/>
  <c r="A5" i="12" s="1"/>
  <c r="A6" i="12" s="1"/>
  <c r="A7" i="12" s="1"/>
  <c r="A8" i="12" s="1"/>
  <c r="A9" i="12" s="1"/>
  <c r="A10" i="12" s="1"/>
  <c r="A11" i="12" s="1"/>
  <c r="A12" i="12" s="1"/>
  <c r="A28" i="3"/>
  <c r="A11" i="3"/>
  <c r="A17" i="8"/>
  <c r="A1" i="8"/>
  <c r="C24" i="8"/>
  <c r="D24" i="8"/>
  <c r="E24" i="8"/>
  <c r="F24" i="8"/>
  <c r="G24" i="8"/>
  <c r="H24" i="8"/>
  <c r="I24" i="8"/>
  <c r="J24" i="8"/>
  <c r="K24" i="8"/>
  <c r="C25" i="8"/>
  <c r="D25" i="8"/>
  <c r="E25" i="8"/>
  <c r="F25" i="8"/>
  <c r="G25" i="8"/>
  <c r="H25" i="8"/>
  <c r="I25" i="8"/>
  <c r="J25" i="8"/>
  <c r="K25" i="8"/>
  <c r="C26" i="8"/>
  <c r="D26" i="8"/>
  <c r="E26" i="8"/>
  <c r="F26" i="8"/>
  <c r="G26" i="8"/>
  <c r="H26" i="8"/>
  <c r="I26" i="8"/>
  <c r="J26" i="8"/>
  <c r="K26" i="8"/>
  <c r="C27" i="8"/>
  <c r="D27" i="8"/>
  <c r="E27" i="8"/>
  <c r="F27" i="8"/>
  <c r="G27" i="8"/>
  <c r="H27" i="8"/>
  <c r="I27" i="8"/>
  <c r="J27" i="8"/>
  <c r="K27" i="8"/>
  <c r="C28" i="8"/>
  <c r="D28" i="8"/>
  <c r="E28" i="8"/>
  <c r="F28" i="8"/>
  <c r="G28" i="8"/>
  <c r="H28" i="8"/>
  <c r="I28" i="8"/>
  <c r="J28" i="8"/>
  <c r="K28" i="8"/>
  <c r="B25" i="8"/>
  <c r="B26" i="8"/>
  <c r="B27" i="8"/>
  <c r="B28" i="8"/>
  <c r="B24" i="8"/>
  <c r="C19" i="8"/>
  <c r="D19" i="8"/>
  <c r="E19" i="8"/>
  <c r="F19" i="8"/>
  <c r="G19" i="8"/>
  <c r="H19" i="8"/>
  <c r="I19" i="8"/>
  <c r="J19" i="8"/>
  <c r="K19" i="8"/>
  <c r="C20" i="8"/>
  <c r="D20" i="8"/>
  <c r="E20" i="8"/>
  <c r="F20" i="8"/>
  <c r="G20" i="8"/>
  <c r="H20" i="8"/>
  <c r="I20" i="8"/>
  <c r="J20" i="8"/>
  <c r="K20" i="8"/>
  <c r="C21" i="8"/>
  <c r="D21" i="8"/>
  <c r="E21" i="8"/>
  <c r="F21" i="8"/>
  <c r="G21" i="8"/>
  <c r="H21" i="8"/>
  <c r="I21" i="8"/>
  <c r="J21" i="8"/>
  <c r="K21" i="8"/>
  <c r="C22" i="8"/>
  <c r="D22" i="8"/>
  <c r="E22" i="8"/>
  <c r="F22" i="8"/>
  <c r="G22" i="8"/>
  <c r="H22" i="8"/>
  <c r="I22" i="8"/>
  <c r="J22" i="8"/>
  <c r="K22" i="8"/>
  <c r="C23" i="8"/>
  <c r="D23" i="8"/>
  <c r="E23" i="8"/>
  <c r="F23" i="8"/>
  <c r="G23" i="8"/>
  <c r="H23" i="8"/>
  <c r="I23" i="8"/>
  <c r="J23" i="8"/>
  <c r="K23" i="8"/>
  <c r="B20" i="8"/>
  <c r="B21" i="8"/>
  <c r="B22" i="8"/>
  <c r="B23" i="8"/>
  <c r="B19" i="8"/>
  <c r="C3" i="8"/>
  <c r="D3" i="8"/>
  <c r="E3" i="8"/>
  <c r="F3" i="8"/>
  <c r="G3" i="8"/>
  <c r="H3" i="8"/>
  <c r="I3" i="8"/>
  <c r="J3" i="8"/>
  <c r="K3" i="8"/>
  <c r="C4" i="8"/>
  <c r="D4" i="8"/>
  <c r="E4" i="8"/>
  <c r="F4" i="8"/>
  <c r="G4" i="8"/>
  <c r="H4" i="8"/>
  <c r="I4" i="8"/>
  <c r="J4" i="8"/>
  <c r="K4" i="8"/>
  <c r="C5" i="8"/>
  <c r="D5" i="8"/>
  <c r="E5" i="8"/>
  <c r="F5" i="8"/>
  <c r="G5" i="8"/>
  <c r="H5" i="8"/>
  <c r="I5" i="8"/>
  <c r="J5" i="8"/>
  <c r="K5" i="8"/>
  <c r="C6" i="8"/>
  <c r="D6" i="8"/>
  <c r="E6" i="8"/>
  <c r="F6" i="8"/>
  <c r="G6" i="8"/>
  <c r="H6" i="8"/>
  <c r="I6" i="8"/>
  <c r="J6" i="8"/>
  <c r="K6" i="8"/>
  <c r="C7" i="8"/>
  <c r="D7" i="8"/>
  <c r="E7" i="8"/>
  <c r="F7" i="8"/>
  <c r="G7" i="8"/>
  <c r="H7" i="8"/>
  <c r="I7" i="8"/>
  <c r="J7" i="8"/>
  <c r="K7" i="8"/>
  <c r="C8" i="8"/>
  <c r="D8" i="8"/>
  <c r="E8" i="8"/>
  <c r="F8" i="8"/>
  <c r="G8" i="8"/>
  <c r="H8" i="8"/>
  <c r="I8" i="8"/>
  <c r="J8" i="8"/>
  <c r="K8" i="8"/>
  <c r="C9" i="8"/>
  <c r="D9" i="8"/>
  <c r="E9" i="8"/>
  <c r="F9" i="8"/>
  <c r="G9" i="8"/>
  <c r="H9" i="8"/>
  <c r="I9" i="8"/>
  <c r="J9" i="8"/>
  <c r="K9" i="8"/>
  <c r="C10" i="8"/>
  <c r="D10" i="8"/>
  <c r="E10" i="8"/>
  <c r="F10" i="8"/>
  <c r="G10" i="8"/>
  <c r="H10" i="8"/>
  <c r="I10" i="8"/>
  <c r="J10" i="8"/>
  <c r="K10" i="8"/>
  <c r="C11" i="8"/>
  <c r="D11" i="8"/>
  <c r="E11" i="8"/>
  <c r="F11" i="8"/>
  <c r="G11" i="8"/>
  <c r="H11" i="8"/>
  <c r="I11" i="8"/>
  <c r="J11" i="8"/>
  <c r="K11" i="8"/>
  <c r="C12" i="8"/>
  <c r="D12" i="8"/>
  <c r="E12" i="8"/>
  <c r="F12" i="8"/>
  <c r="G12" i="8"/>
  <c r="H12" i="8"/>
  <c r="I12" i="8"/>
  <c r="J12" i="8"/>
  <c r="K12" i="8"/>
  <c r="E13" i="8"/>
  <c r="F13" i="8"/>
  <c r="G13" i="8"/>
  <c r="H13" i="8"/>
  <c r="I13" i="8"/>
  <c r="J13" i="8"/>
  <c r="K13" i="8"/>
  <c r="E14" i="8"/>
  <c r="F14" i="8"/>
  <c r="G14" i="8"/>
  <c r="H14" i="8"/>
  <c r="I14" i="8"/>
  <c r="J14" i="8"/>
  <c r="K14" i="8"/>
  <c r="B4" i="8"/>
  <c r="B5" i="8"/>
  <c r="B6" i="8"/>
  <c r="B7" i="8"/>
  <c r="B8" i="8"/>
  <c r="B9" i="8"/>
  <c r="B10" i="8"/>
  <c r="B11" i="8"/>
  <c r="B12" i="8"/>
  <c r="B3" i="8"/>
  <c r="C19" i="5"/>
  <c r="D19" i="5"/>
  <c r="E19" i="5"/>
  <c r="F19" i="5"/>
  <c r="G19" i="5"/>
  <c r="H19" i="5"/>
  <c r="I19" i="5"/>
  <c r="J19" i="5"/>
  <c r="K19" i="5"/>
  <c r="C20" i="5"/>
  <c r="D20" i="5"/>
  <c r="E20" i="5"/>
  <c r="F20" i="5"/>
  <c r="G20" i="5"/>
  <c r="H20" i="5"/>
  <c r="I20" i="5"/>
  <c r="J20" i="5"/>
  <c r="K20" i="5"/>
  <c r="C22" i="5"/>
  <c r="D22" i="5"/>
  <c r="E22" i="5"/>
  <c r="F22" i="5"/>
  <c r="G22" i="5"/>
  <c r="H22" i="5"/>
  <c r="I22" i="5"/>
  <c r="J22" i="5"/>
  <c r="K22" i="5"/>
  <c r="C23" i="5"/>
  <c r="D23" i="5"/>
  <c r="E23" i="5"/>
  <c r="F23" i="5"/>
  <c r="G23" i="5"/>
  <c r="H23" i="5"/>
  <c r="I23" i="5"/>
  <c r="J23" i="5"/>
  <c r="K23" i="5"/>
  <c r="B20" i="5"/>
  <c r="B22" i="5"/>
  <c r="B23" i="5"/>
  <c r="C24" i="5"/>
  <c r="D24" i="5"/>
  <c r="E24" i="5"/>
  <c r="F24" i="5"/>
  <c r="G24" i="5"/>
  <c r="H24" i="5"/>
  <c r="I24" i="5"/>
  <c r="J24" i="5"/>
  <c r="K24" i="5"/>
  <c r="C25" i="5"/>
  <c r="D25" i="5"/>
  <c r="E25" i="5"/>
  <c r="F25" i="5"/>
  <c r="G25" i="5"/>
  <c r="H25" i="5"/>
  <c r="I25" i="5"/>
  <c r="J25" i="5"/>
  <c r="K25" i="5"/>
  <c r="C26" i="5"/>
  <c r="D26" i="5"/>
  <c r="E26" i="5"/>
  <c r="F26" i="5"/>
  <c r="G26" i="5"/>
  <c r="H26" i="5"/>
  <c r="I26" i="5"/>
  <c r="J26" i="5"/>
  <c r="K26" i="5"/>
  <c r="C27" i="5"/>
  <c r="D27" i="5"/>
  <c r="E27" i="5"/>
  <c r="F27" i="5"/>
  <c r="G27" i="5"/>
  <c r="H27" i="5"/>
  <c r="I27" i="5"/>
  <c r="J27" i="5"/>
  <c r="K27" i="5"/>
  <c r="C28" i="5"/>
  <c r="D28" i="5"/>
  <c r="E28" i="5"/>
  <c r="F28" i="5"/>
  <c r="G28" i="5"/>
  <c r="H28" i="5"/>
  <c r="I28" i="5"/>
  <c r="J28" i="5"/>
  <c r="K28" i="5"/>
  <c r="B25" i="5"/>
  <c r="B26" i="5"/>
  <c r="B27" i="5"/>
  <c r="B28" i="5"/>
  <c r="B24" i="5"/>
  <c r="B19" i="5"/>
  <c r="C3" i="5"/>
  <c r="D3" i="5"/>
  <c r="E3" i="5"/>
  <c r="F3" i="5"/>
  <c r="G3" i="5"/>
  <c r="H3" i="5"/>
  <c r="I3" i="5"/>
  <c r="J3" i="5"/>
  <c r="K3" i="5"/>
  <c r="C4" i="5"/>
  <c r="D4" i="5"/>
  <c r="E4" i="5"/>
  <c r="F4" i="5"/>
  <c r="G4" i="5"/>
  <c r="H4" i="5"/>
  <c r="I4" i="5"/>
  <c r="J4" i="5"/>
  <c r="K4" i="5"/>
  <c r="C5" i="5"/>
  <c r="D5" i="5"/>
  <c r="E5" i="5"/>
  <c r="F5" i="5"/>
  <c r="G5" i="5"/>
  <c r="H5" i="5"/>
  <c r="I5" i="5"/>
  <c r="J5" i="5"/>
  <c r="K5" i="5"/>
  <c r="C6" i="5"/>
  <c r="D6" i="5"/>
  <c r="E6" i="5"/>
  <c r="F6" i="5"/>
  <c r="G6" i="5"/>
  <c r="H6" i="5"/>
  <c r="I6" i="5"/>
  <c r="J6" i="5"/>
  <c r="K6" i="5"/>
  <c r="C7" i="5"/>
  <c r="D7" i="5"/>
  <c r="E7" i="5"/>
  <c r="F7" i="5"/>
  <c r="G7" i="5"/>
  <c r="H7" i="5"/>
  <c r="I7" i="5"/>
  <c r="J7" i="5"/>
  <c r="K7" i="5"/>
  <c r="C8" i="5"/>
  <c r="D8" i="5"/>
  <c r="E8" i="5"/>
  <c r="F8" i="5"/>
  <c r="G8" i="5"/>
  <c r="H8" i="5"/>
  <c r="I8" i="5"/>
  <c r="J8" i="5"/>
  <c r="K8" i="5"/>
  <c r="C9" i="5"/>
  <c r="D9" i="5"/>
  <c r="E9" i="5"/>
  <c r="F9" i="5"/>
  <c r="G9" i="5"/>
  <c r="H9" i="5"/>
  <c r="I9" i="5"/>
  <c r="J9" i="5"/>
  <c r="K9" i="5"/>
  <c r="C10" i="5"/>
  <c r="D10" i="5"/>
  <c r="E10" i="5"/>
  <c r="F10" i="5"/>
  <c r="G10" i="5"/>
  <c r="H10" i="5"/>
  <c r="I10" i="5"/>
  <c r="J10" i="5"/>
  <c r="K10" i="5"/>
  <c r="C11" i="5"/>
  <c r="D11" i="5"/>
  <c r="E11" i="5"/>
  <c r="F11" i="5"/>
  <c r="G11" i="5"/>
  <c r="H11" i="5"/>
  <c r="I11" i="5"/>
  <c r="J11" i="5"/>
  <c r="K11" i="5"/>
  <c r="C12" i="5"/>
  <c r="D12" i="5"/>
  <c r="E12" i="5"/>
  <c r="F12" i="5"/>
  <c r="G12" i="5"/>
  <c r="H12" i="5"/>
  <c r="I12" i="5"/>
  <c r="J12" i="5"/>
  <c r="K12" i="5"/>
  <c r="B4" i="5"/>
  <c r="B5" i="5"/>
  <c r="B6" i="5"/>
  <c r="B7" i="5"/>
  <c r="B8" i="5"/>
  <c r="B9" i="5"/>
  <c r="B10" i="5"/>
  <c r="B11" i="5"/>
  <c r="B12" i="5"/>
  <c r="B3" i="5"/>
  <c r="C24" i="3"/>
  <c r="D24" i="3"/>
  <c r="E24" i="3"/>
  <c r="F24" i="3"/>
  <c r="G24" i="3"/>
  <c r="H24" i="3"/>
  <c r="I24" i="3"/>
  <c r="J24" i="3"/>
  <c r="K24" i="3"/>
  <c r="C25" i="3"/>
  <c r="D25" i="3"/>
  <c r="E25" i="3"/>
  <c r="F25" i="3"/>
  <c r="G25" i="3"/>
  <c r="H25" i="3"/>
  <c r="I25" i="3"/>
  <c r="J25" i="3"/>
  <c r="K25" i="3"/>
  <c r="C26" i="3"/>
  <c r="D26" i="3"/>
  <c r="E26" i="3"/>
  <c r="F26" i="3"/>
  <c r="G26" i="3"/>
  <c r="H26" i="3"/>
  <c r="I26" i="3"/>
  <c r="J26" i="3"/>
  <c r="K26" i="3"/>
  <c r="C27" i="3"/>
  <c r="D27" i="3"/>
  <c r="E27" i="3"/>
  <c r="F27" i="3"/>
  <c r="G27" i="3"/>
  <c r="H27" i="3"/>
  <c r="I27" i="3"/>
  <c r="J27" i="3"/>
  <c r="K27" i="3"/>
  <c r="C28" i="3"/>
  <c r="D28" i="3"/>
  <c r="E28" i="3"/>
  <c r="F28" i="3"/>
  <c r="G28" i="3"/>
  <c r="H28" i="3"/>
  <c r="I28" i="3"/>
  <c r="J28" i="3"/>
  <c r="K28" i="3"/>
  <c r="B25" i="3"/>
  <c r="B26" i="3"/>
  <c r="B27" i="3"/>
  <c r="B28" i="3"/>
  <c r="B24" i="3"/>
  <c r="C19" i="3"/>
  <c r="D19" i="3"/>
  <c r="E19" i="3"/>
  <c r="F19" i="3"/>
  <c r="G19" i="3"/>
  <c r="H19" i="3"/>
  <c r="I19" i="3"/>
  <c r="J19" i="3"/>
  <c r="K19" i="3"/>
  <c r="C20" i="3"/>
  <c r="D20" i="3"/>
  <c r="E20" i="3"/>
  <c r="F20" i="3"/>
  <c r="G20" i="3"/>
  <c r="H20" i="3"/>
  <c r="I20" i="3"/>
  <c r="J20" i="3"/>
  <c r="K20" i="3"/>
  <c r="I21" i="3"/>
  <c r="J21" i="3"/>
  <c r="K21" i="3"/>
  <c r="C22" i="3"/>
  <c r="D22" i="3"/>
  <c r="E22" i="3"/>
  <c r="F22" i="3"/>
  <c r="G22" i="3"/>
  <c r="H22" i="3"/>
  <c r="I22" i="3"/>
  <c r="J22" i="3"/>
  <c r="K22" i="3"/>
  <c r="C23" i="3"/>
  <c r="D23" i="3"/>
  <c r="E23" i="3"/>
  <c r="F23" i="3"/>
  <c r="G23" i="3"/>
  <c r="H23" i="3"/>
  <c r="I23" i="3"/>
  <c r="J23" i="3"/>
  <c r="K23" i="3"/>
  <c r="B20" i="3"/>
  <c r="B22" i="3"/>
  <c r="B23" i="3"/>
  <c r="B19" i="3"/>
  <c r="C3" i="3"/>
  <c r="D3" i="3"/>
  <c r="E3" i="3"/>
  <c r="F3" i="3"/>
  <c r="G3" i="3"/>
  <c r="H3" i="3"/>
  <c r="I3" i="3"/>
  <c r="J3" i="3"/>
  <c r="K3" i="3"/>
  <c r="C4" i="3"/>
  <c r="D4" i="3"/>
  <c r="E4" i="3"/>
  <c r="F4" i="3"/>
  <c r="G4" i="3"/>
  <c r="H4" i="3"/>
  <c r="I4" i="3"/>
  <c r="J4" i="3"/>
  <c r="K4" i="3"/>
  <c r="C5" i="3"/>
  <c r="D5" i="3"/>
  <c r="E5" i="3"/>
  <c r="F5" i="3"/>
  <c r="G5" i="3"/>
  <c r="H5" i="3"/>
  <c r="I5" i="3"/>
  <c r="J5" i="3"/>
  <c r="K5" i="3"/>
  <c r="C6" i="3"/>
  <c r="D6" i="3"/>
  <c r="E6" i="3"/>
  <c r="F6" i="3"/>
  <c r="G6" i="3"/>
  <c r="H6" i="3"/>
  <c r="I6" i="3"/>
  <c r="J6" i="3"/>
  <c r="K6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F13" i="3"/>
  <c r="G13" i="3"/>
  <c r="H13" i="3"/>
  <c r="I13" i="3"/>
  <c r="J13" i="3"/>
  <c r="K13" i="3"/>
  <c r="F14" i="3"/>
  <c r="G14" i="3"/>
  <c r="H14" i="3"/>
  <c r="I14" i="3"/>
  <c r="J14" i="3"/>
  <c r="K14" i="3"/>
  <c r="B4" i="3"/>
  <c r="B5" i="3"/>
  <c r="B6" i="3"/>
  <c r="B7" i="3"/>
  <c r="B8" i="3"/>
  <c r="B9" i="3"/>
  <c r="B10" i="3"/>
  <c r="B11" i="3"/>
  <c r="B12" i="3"/>
  <c r="B3" i="3"/>
  <c r="A18" i="3"/>
  <c r="A2" i="3"/>
  <c r="A18" i="5"/>
  <c r="A2" i="5"/>
  <c r="A18" i="8"/>
  <c r="A2" i="8"/>
  <c r="A20" i="5"/>
  <c r="A21" i="5"/>
  <c r="A22" i="5"/>
  <c r="A23" i="5"/>
  <c r="A24" i="5"/>
  <c r="A25" i="5"/>
  <c r="A26" i="5"/>
  <c r="A27" i="5"/>
  <c r="A28" i="5"/>
  <c r="A19" i="5"/>
  <c r="C18" i="5"/>
  <c r="D18" i="5"/>
  <c r="E18" i="5"/>
  <c r="F18" i="5"/>
  <c r="G18" i="5"/>
  <c r="H18" i="5"/>
  <c r="I18" i="5"/>
  <c r="J18" i="5"/>
  <c r="K18" i="5"/>
  <c r="B18" i="5"/>
  <c r="A4" i="5"/>
  <c r="A5" i="5"/>
  <c r="A6" i="5"/>
  <c r="A7" i="5"/>
  <c r="A8" i="5"/>
  <c r="A9" i="5"/>
  <c r="A10" i="5"/>
  <c r="A11" i="5"/>
  <c r="A12" i="5"/>
  <c r="A13" i="5"/>
  <c r="A14" i="5"/>
  <c r="A3" i="5"/>
  <c r="C2" i="5"/>
  <c r="D2" i="5"/>
  <c r="E2" i="5"/>
  <c r="F2" i="5"/>
  <c r="G2" i="5"/>
  <c r="H2" i="5"/>
  <c r="I2" i="5"/>
  <c r="J2" i="5"/>
  <c r="K2" i="5"/>
  <c r="B2" i="5"/>
  <c r="A20" i="8"/>
  <c r="A21" i="8"/>
  <c r="A22" i="8"/>
  <c r="A23" i="8"/>
  <c r="A24" i="8"/>
  <c r="A25" i="8"/>
  <c r="A26" i="8"/>
  <c r="A27" i="8"/>
  <c r="A28" i="8"/>
  <c r="A19" i="8"/>
  <c r="K18" i="8"/>
  <c r="C18" i="8"/>
  <c r="D18" i="8"/>
  <c r="E18" i="8"/>
  <c r="F18" i="8"/>
  <c r="G18" i="8"/>
  <c r="H18" i="8"/>
  <c r="I18" i="8"/>
  <c r="J18" i="8"/>
  <c r="B18" i="8"/>
  <c r="A4" i="8"/>
  <c r="A5" i="8"/>
  <c r="A6" i="8"/>
  <c r="A7" i="8"/>
  <c r="A8" i="8"/>
  <c r="A9" i="8"/>
  <c r="A10" i="8"/>
  <c r="A11" i="8"/>
  <c r="A12" i="8"/>
  <c r="A13" i="8"/>
  <c r="A14" i="8"/>
  <c r="A3" i="8"/>
  <c r="K2" i="8"/>
  <c r="C2" i="8"/>
  <c r="D2" i="8"/>
  <c r="E2" i="8"/>
  <c r="F2" i="8"/>
  <c r="G2" i="8"/>
  <c r="H2" i="8"/>
  <c r="I2" i="8"/>
  <c r="J2" i="8"/>
  <c r="B2" i="8"/>
  <c r="A23" i="3"/>
  <c r="A20" i="3"/>
  <c r="A21" i="3"/>
  <c r="A22" i="3"/>
  <c r="A24" i="3"/>
  <c r="A25" i="3"/>
  <c r="A26" i="3"/>
  <c r="A27" i="3"/>
  <c r="A19" i="3"/>
  <c r="C18" i="3"/>
  <c r="D18" i="3"/>
  <c r="E18" i="3"/>
  <c r="F18" i="3"/>
  <c r="G18" i="3"/>
  <c r="H18" i="3"/>
  <c r="I18" i="3"/>
  <c r="J18" i="3"/>
  <c r="K18" i="3"/>
  <c r="B18" i="3"/>
  <c r="C2" i="3"/>
  <c r="D2" i="3"/>
  <c r="E2" i="3"/>
  <c r="F2" i="3"/>
  <c r="G2" i="3"/>
  <c r="H2" i="3"/>
  <c r="I2" i="3"/>
  <c r="J2" i="3"/>
  <c r="K2" i="3"/>
  <c r="B2" i="3"/>
  <c r="A17" i="5"/>
  <c r="A1" i="5"/>
  <c r="D25" i="12" l="1"/>
  <c r="J4" i="12"/>
  <c r="E5" i="12"/>
  <c r="J8" i="12"/>
  <c r="I7" i="12"/>
  <c r="J7" i="12" s="1"/>
  <c r="E7" i="12"/>
  <c r="F7" i="12" s="1"/>
  <c r="F11" i="12"/>
  <c r="E8" i="12"/>
  <c r="F8" i="12" s="1"/>
  <c r="F12" i="12"/>
  <c r="J9" i="12"/>
  <c r="F9" i="12"/>
  <c r="I3" i="12"/>
  <c r="E3" i="12"/>
  <c r="F3" i="12" s="1"/>
  <c r="I10" i="12"/>
  <c r="J10" i="12" s="1"/>
  <c r="F5" i="12"/>
  <c r="I11" i="12"/>
  <c r="J11" i="12" s="1"/>
  <c r="E11" i="12"/>
  <c r="I6" i="12"/>
  <c r="J6" i="12" s="1"/>
  <c r="I12" i="12"/>
  <c r="J5" i="12"/>
  <c r="F10" i="12"/>
  <c r="J3" i="12"/>
  <c r="J12" i="12"/>
  <c r="F6" i="12"/>
  <c r="F4" i="12"/>
  <c r="A1" i="3"/>
  <c r="A17" i="3"/>
  <c r="A14" i="3"/>
  <c r="A13" i="3"/>
  <c r="A12" i="3"/>
  <c r="A10" i="3"/>
  <c r="A9" i="3"/>
  <c r="A8" i="3"/>
  <c r="A7" i="3"/>
  <c r="A6" i="3"/>
  <c r="A5" i="3"/>
  <c r="A4" i="3"/>
  <c r="A3" i="3"/>
</calcChain>
</file>

<file path=xl/sharedStrings.xml><?xml version="1.0" encoding="utf-8"?>
<sst xmlns="http://schemas.openxmlformats.org/spreadsheetml/2006/main" count="142" uniqueCount="72">
  <si>
    <t>Operating Profit</t>
  </si>
  <si>
    <t>Interest</t>
  </si>
  <si>
    <t>Depreciation</t>
  </si>
  <si>
    <t>Profit before tax</t>
  </si>
  <si>
    <t>Reserves</t>
  </si>
  <si>
    <t>Total Liabilities</t>
  </si>
  <si>
    <t>Investments</t>
  </si>
  <si>
    <t>Total Assets</t>
  </si>
  <si>
    <t>Name of Company</t>
  </si>
  <si>
    <t>Scrip Code</t>
  </si>
  <si>
    <t>Duration of Analysis</t>
  </si>
  <si>
    <t>HDFC Life Insurance Company Ltd.</t>
  </si>
  <si>
    <t>HDFCLIFE</t>
  </si>
  <si>
    <t>Narration</t>
  </si>
  <si>
    <t>Equity Share Capital</t>
  </si>
  <si>
    <t>Borrowings</t>
  </si>
  <si>
    <t>Other Liabilities</t>
  </si>
  <si>
    <t>Net Block</t>
  </si>
  <si>
    <t>Capital Work in Progress</t>
  </si>
  <si>
    <t>Other Assets</t>
  </si>
  <si>
    <t>Working Capital</t>
  </si>
  <si>
    <t>Debtors</t>
  </si>
  <si>
    <t>Inventory</t>
  </si>
  <si>
    <t>Debtor Days</t>
  </si>
  <si>
    <t>Inventory Turnover</t>
  </si>
  <si>
    <t>Sales</t>
  </si>
  <si>
    <t>Expenses</t>
  </si>
  <si>
    <t>Other Income</t>
  </si>
  <si>
    <t>Tax</t>
  </si>
  <si>
    <t>Net profit</t>
  </si>
  <si>
    <t>EPS</t>
  </si>
  <si>
    <t>Price to earning</t>
  </si>
  <si>
    <t>Price</t>
  </si>
  <si>
    <t>RATIOS:</t>
  </si>
  <si>
    <t>Dividend Payout</t>
  </si>
  <si>
    <t>OPM</t>
  </si>
  <si>
    <t>-</t>
  </si>
  <si>
    <t>Mar-14</t>
  </si>
  <si>
    <t>Mar-15</t>
  </si>
  <si>
    <t>Mar-16</t>
  </si>
  <si>
    <t>Mar-17</t>
  </si>
  <si>
    <t>Mar-18</t>
  </si>
  <si>
    <t>Mar-19</t>
  </si>
  <si>
    <t>Mar-20</t>
  </si>
  <si>
    <t>Mar-21</t>
  </si>
  <si>
    <t>Mar-22</t>
  </si>
  <si>
    <t>Mar-23</t>
  </si>
  <si>
    <t>Mar-24</t>
  </si>
  <si>
    <t>2014-15 to 2023-24</t>
  </si>
  <si>
    <t>Name</t>
  </si>
  <si>
    <t>Course</t>
  </si>
  <si>
    <t>Roll No</t>
  </si>
  <si>
    <t>Sec.</t>
  </si>
  <si>
    <t>Kishan Maheshwari</t>
  </si>
  <si>
    <t>MBA (FMB)</t>
  </si>
  <si>
    <t>I</t>
  </si>
  <si>
    <t>Year</t>
  </si>
  <si>
    <t>Net Profit</t>
  </si>
  <si>
    <t>Euity (Start)</t>
  </si>
  <si>
    <t>Equity (End)</t>
  </si>
  <si>
    <t>Average Shareholder Equity</t>
  </si>
  <si>
    <t>ROE</t>
  </si>
  <si>
    <t>Average Assets</t>
  </si>
  <si>
    <t>ROA</t>
  </si>
  <si>
    <t>Assets (Start)</t>
  </si>
  <si>
    <t>Assets (End)</t>
  </si>
  <si>
    <t>Debt to Equity</t>
  </si>
  <si>
    <t>Total Equity</t>
  </si>
  <si>
    <t>Calculation of Financial Ratios</t>
  </si>
  <si>
    <t>Revenue</t>
  </si>
  <si>
    <t>Revenue Growth Rate</t>
  </si>
  <si>
    <t>Net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</si>
</sst>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2222F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2222F"/>
      <name val="Calibri"/>
      <family val="2"/>
      <scheme val="minor"/>
    </font>
    <font>
      <sz val="10"/>
      <color rgb="FF22222F"/>
      <name val="Arial"/>
      <family val="2"/>
    </font>
    <font>
      <b/>
      <sz val="10"/>
      <color rgb="FF22222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7BEFE"/>
        <bgColor indexed="64"/>
      </patternFill>
    </fill>
    <fill>
      <patternFill patternType="solid">
        <fgColor rgb="FFFDBFD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39DE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17" fontId="0" fillId="0" borderId="0" xfId="0" applyNumberFormat="1" applyAlignment="1">
      <alignment horizontal="right" vertical="center" wrapText="1" indent="1"/>
    </xf>
    <xf numFmtId="0" fontId="0" fillId="0" borderId="0" xfId="0" applyAlignment="1">
      <alignment horizontal="right" vertical="center" wrapText="1" indent="1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17" fontId="3" fillId="2" borderId="0" xfId="0" applyNumberFormat="1" applyFont="1" applyFill="1" applyAlignment="1">
      <alignment horizontal="right" vertical="center" wrapText="1" indent="1"/>
    </xf>
    <xf numFmtId="0" fontId="0" fillId="2" borderId="0" xfId="0" applyFill="1"/>
    <xf numFmtId="3" fontId="3" fillId="2" borderId="0" xfId="0" applyNumberFormat="1" applyFont="1" applyFill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9" fontId="0" fillId="0" borderId="0" xfId="0" applyNumberFormat="1" applyAlignment="1">
      <alignment horizontal="right" vertic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9" borderId="0" xfId="0" applyFill="1" applyAlignment="1">
      <alignment horizontal="right"/>
    </xf>
    <xf numFmtId="0" fontId="0" fillId="10" borderId="0" xfId="0" applyFill="1"/>
    <xf numFmtId="0" fontId="0" fillId="10" borderId="0" xfId="0" applyFill="1" applyAlignment="1">
      <alignment horizontal="right"/>
    </xf>
    <xf numFmtId="17" fontId="8" fillId="0" borderId="1" xfId="0" applyNumberFormat="1" applyFont="1" applyBorder="1" applyAlignment="1">
      <alignment horizontal="center" vertical="center"/>
    </xf>
    <xf numFmtId="17" fontId="8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3" fontId="10" fillId="2" borderId="1" xfId="0" applyNumberFormat="1" applyFont="1" applyFill="1" applyBorder="1" applyAlignment="1">
      <alignment horizontal="right" vertical="center" wrapText="1"/>
    </xf>
    <xf numFmtId="3" fontId="9" fillId="0" borderId="1" xfId="0" applyNumberFormat="1" applyFont="1" applyBorder="1" applyAlignment="1">
      <alignment horizontal="right" vertical="center"/>
    </xf>
    <xf numFmtId="0" fontId="10" fillId="2" borderId="1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/>
    </xf>
    <xf numFmtId="2" fontId="10" fillId="2" borderId="1" xfId="0" applyNumberFormat="1" applyFont="1" applyFill="1" applyBorder="1" applyAlignment="1">
      <alignment horizontal="right" vertical="center" wrapText="1"/>
    </xf>
    <xf numFmtId="2" fontId="9" fillId="0" borderId="1" xfId="0" applyNumberFormat="1" applyFont="1" applyBorder="1" applyAlignment="1">
      <alignment horizontal="right" vertical="center"/>
    </xf>
    <xf numFmtId="0" fontId="11" fillId="2" borderId="1" xfId="0" applyFont="1" applyFill="1" applyBorder="1" applyAlignment="1">
      <alignment horizontal="right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9" fontId="9" fillId="0" borderId="1" xfId="0" applyNumberFormat="1" applyFont="1" applyBorder="1" applyAlignment="1">
      <alignment horizontal="right" vertical="center"/>
    </xf>
    <xf numFmtId="10" fontId="9" fillId="0" borderId="1" xfId="0" applyNumberFormat="1" applyFont="1" applyBorder="1" applyAlignment="1">
      <alignment horizontal="right" vertical="center"/>
    </xf>
    <xf numFmtId="10" fontId="9" fillId="0" borderId="1" xfId="0" applyNumberFormat="1" applyFont="1" applyBorder="1"/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right" vertical="center"/>
    </xf>
    <xf numFmtId="2" fontId="9" fillId="0" borderId="1" xfId="0" applyNumberFormat="1" applyFont="1" applyBorder="1"/>
    <xf numFmtId="17" fontId="12" fillId="2" borderId="1" xfId="0" applyNumberFormat="1" applyFont="1" applyFill="1" applyBorder="1" applyAlignment="1">
      <alignment horizontal="center" vertical="center" wrapText="1"/>
    </xf>
    <xf numFmtId="17" fontId="12" fillId="2" borderId="1" xfId="0" applyNumberFormat="1" applyFont="1" applyFill="1" applyBorder="1" applyAlignment="1">
      <alignment horizontal="right" vertical="center" wrapText="1"/>
    </xf>
    <xf numFmtId="17" fontId="12" fillId="2" borderId="1" xfId="0" applyNumberFormat="1" applyFont="1" applyFill="1" applyBorder="1" applyAlignment="1">
      <alignment horizontal="right" vertical="center" wrapText="1" indent="1"/>
    </xf>
    <xf numFmtId="17" fontId="5" fillId="0" borderId="1" xfId="0" applyNumberFormat="1" applyFont="1" applyBorder="1"/>
    <xf numFmtId="0" fontId="6" fillId="0" borderId="1" xfId="0" applyFont="1" applyBorder="1"/>
    <xf numFmtId="164" fontId="6" fillId="0" borderId="1" xfId="1" applyNumberFormat="1" applyFont="1" applyBorder="1"/>
    <xf numFmtId="164" fontId="6" fillId="0" borderId="1" xfId="1" applyNumberFormat="1" applyFont="1" applyBorder="1" applyAlignment="1">
      <alignment horizontal="center"/>
    </xf>
    <xf numFmtId="9" fontId="5" fillId="11" borderId="1" xfId="1" applyFont="1" applyFill="1" applyBorder="1"/>
    <xf numFmtId="10" fontId="6" fillId="0" borderId="1" xfId="1" applyNumberFormat="1" applyFont="1" applyBorder="1"/>
    <xf numFmtId="9" fontId="6" fillId="0" borderId="1" xfId="1" applyFont="1" applyBorder="1"/>
    <xf numFmtId="9" fontId="6" fillId="0" borderId="1" xfId="1" applyFont="1" applyBorder="1" applyAlignment="1">
      <alignment horizontal="center"/>
    </xf>
    <xf numFmtId="0" fontId="5" fillId="12" borderId="1" xfId="0" applyFont="1" applyFill="1" applyBorder="1"/>
    <xf numFmtId="9" fontId="5" fillId="12" borderId="1" xfId="1" applyFont="1" applyFill="1" applyBorder="1"/>
    <xf numFmtId="10" fontId="6" fillId="0" borderId="1" xfId="1" applyNumberFormat="1" applyFont="1" applyBorder="1" applyAlignment="1">
      <alignment horizontal="center"/>
    </xf>
    <xf numFmtId="9" fontId="6" fillId="6" borderId="1" xfId="1" applyFont="1" applyFill="1" applyBorder="1"/>
    <xf numFmtId="0" fontId="5" fillId="13" borderId="1" xfId="0" applyFont="1" applyFill="1" applyBorder="1"/>
    <xf numFmtId="0" fontId="5" fillId="14" borderId="1" xfId="0" applyFont="1" applyFill="1" applyBorder="1"/>
    <xf numFmtId="0" fontId="13" fillId="0" borderId="1" xfId="0" applyFont="1" applyBorder="1" applyAlignment="1">
      <alignment horizontal="center"/>
    </xf>
    <xf numFmtId="0" fontId="0" fillId="0" borderId="1" xfId="0" applyBorder="1"/>
    <xf numFmtId="3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2" fontId="0" fillId="11" borderId="1" xfId="0" applyNumberFormat="1" applyFill="1" applyBorder="1"/>
    <xf numFmtId="2" fontId="0" fillId="14" borderId="1" xfId="0" applyNumberFormat="1" applyFill="1" applyBorder="1"/>
    <xf numFmtId="2" fontId="0" fillId="16" borderId="1" xfId="0" applyNumberFormat="1" applyFill="1" applyBorder="1"/>
    <xf numFmtId="0" fontId="0" fillId="0" borderId="1" xfId="0" applyBorder="1" applyAlignment="1">
      <alignment horizontal="right"/>
    </xf>
    <xf numFmtId="2" fontId="0" fillId="17" borderId="1" xfId="0" applyNumberFormat="1" applyFill="1" applyBorder="1" applyAlignment="1">
      <alignment horizontal="right"/>
    </xf>
    <xf numFmtId="2" fontId="0" fillId="17" borderId="1" xfId="0" applyNumberFormat="1" applyFill="1" applyBorder="1"/>
    <xf numFmtId="2" fontId="0" fillId="18" borderId="1" xfId="0" applyNumberFormat="1" applyFill="1" applyBorder="1"/>
    <xf numFmtId="0" fontId="0" fillId="0" borderId="0" xfId="0" applyAlignment="1">
      <alignment horizontal="left" vertical="center" wrapText="1"/>
    </xf>
    <xf numFmtId="0" fontId="2" fillId="3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2" fillId="15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4"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0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</font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22" formatCode="mmm/yy"/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7BEFE"/>
      <color rgb="FFFDBFD2"/>
      <color rgb="FFB39DE3"/>
      <color rgb="FFA47897"/>
      <color rgb="FFBEB614"/>
      <color rgb="FFFFFF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'Income Statement'!$B$1</c:f>
              <c:strCache>
                <c:ptCount val="1"/>
                <c:pt idx="0">
                  <c:v>Mar-14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Statement'!$A$10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'Income Statement'!$B$10</c:f>
              <c:numCache>
                <c:formatCode>General</c:formatCode>
                <c:ptCount val="1"/>
                <c:pt idx="0">
                  <c:v>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7-442E-8256-E671CD23F01B}"/>
            </c:ext>
          </c:extLst>
        </c:ser>
        <c:ser>
          <c:idx val="1"/>
          <c:order val="1"/>
          <c:tx>
            <c:strRef>
              <c:f>'Income Statement'!$C$1</c:f>
              <c:strCache>
                <c:ptCount val="1"/>
                <c:pt idx="0">
                  <c:v>Mar-15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Statement'!$A$10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'Income Statement'!$C$10</c:f>
              <c:numCache>
                <c:formatCode>General</c:formatCode>
                <c:ptCount val="1"/>
                <c:pt idx="0">
                  <c:v>785.51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27-442E-8256-E671CD23F01B}"/>
            </c:ext>
          </c:extLst>
        </c:ser>
        <c:ser>
          <c:idx val="2"/>
          <c:order val="2"/>
          <c:tx>
            <c:strRef>
              <c:f>'Income Statement'!$D$1</c:f>
              <c:strCache>
                <c:ptCount val="1"/>
                <c:pt idx="0">
                  <c:v>Mar-16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Statement'!$A$10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'Income Statement'!$D$10</c:f>
              <c:numCache>
                <c:formatCode>General</c:formatCode>
                <c:ptCount val="1"/>
                <c:pt idx="0">
                  <c:v>816.79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27-442E-8256-E671CD23F01B}"/>
            </c:ext>
          </c:extLst>
        </c:ser>
        <c:ser>
          <c:idx val="3"/>
          <c:order val="3"/>
          <c:tx>
            <c:strRef>
              <c:f>'Income Statement'!$E$1</c:f>
              <c:strCache>
                <c:ptCount val="1"/>
                <c:pt idx="0">
                  <c:v>Mar-17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Statement'!$A$10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'Income Statement'!$E$10</c:f>
              <c:numCache>
                <c:formatCode>General</c:formatCode>
                <c:ptCount val="1"/>
                <c:pt idx="0">
                  <c:v>886.92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27-442E-8256-E671CD23F01B}"/>
            </c:ext>
          </c:extLst>
        </c:ser>
        <c:ser>
          <c:idx val="4"/>
          <c:order val="4"/>
          <c:tx>
            <c:strRef>
              <c:f>'Income Statement'!$F$1</c:f>
              <c:strCache>
                <c:ptCount val="1"/>
                <c:pt idx="0">
                  <c:v>Mar-18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Statement'!$A$10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'Income Statement'!$F$10</c:f>
              <c:numCache>
                <c:formatCode>General</c:formatCode>
                <c:ptCount val="1"/>
                <c:pt idx="0">
                  <c:v>1107.2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27-442E-8256-E671CD23F01B}"/>
            </c:ext>
          </c:extLst>
        </c:ser>
        <c:ser>
          <c:idx val="5"/>
          <c:order val="5"/>
          <c:tx>
            <c:strRef>
              <c:f>'Income Statement'!$G$1</c:f>
              <c:strCache>
                <c:ptCount val="1"/>
                <c:pt idx="0">
                  <c:v>Mar-19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20000"/>
                        <a:lumOff val="8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Statement'!$A$10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'Income Statement'!$G$10</c:f>
              <c:numCache>
                <c:formatCode>General</c:formatCode>
                <c:ptCount val="1"/>
                <c:pt idx="0">
                  <c:v>1277.93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27-442E-8256-E671CD23F01B}"/>
            </c:ext>
          </c:extLst>
        </c:ser>
        <c:ser>
          <c:idx val="6"/>
          <c:order val="6"/>
          <c:tx>
            <c:strRef>
              <c:f>'Income Statement'!$H$1</c:f>
              <c:strCache>
                <c:ptCount val="1"/>
                <c:pt idx="0">
                  <c:v>Mar-20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Statement'!$A$10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'Income Statement'!$H$10</c:f>
              <c:numCache>
                <c:formatCode>General</c:formatCode>
                <c:ptCount val="1"/>
                <c:pt idx="0">
                  <c:v>1297.44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27-442E-8256-E671CD23F01B}"/>
            </c:ext>
          </c:extLst>
        </c:ser>
        <c:ser>
          <c:idx val="7"/>
          <c:order val="7"/>
          <c:tx>
            <c:strRef>
              <c:f>'Income Statement'!$I$1</c:f>
              <c:strCache>
                <c:ptCount val="1"/>
                <c:pt idx="0">
                  <c:v>Mar-21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Statement'!$A$10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'Income Statement'!$I$10</c:f>
              <c:numCache>
                <c:formatCode>General</c:formatCode>
                <c:ptCount val="1"/>
                <c:pt idx="0">
                  <c:v>1360.87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27-442E-8256-E671CD23F01B}"/>
            </c:ext>
          </c:extLst>
        </c:ser>
        <c:ser>
          <c:idx val="8"/>
          <c:order val="8"/>
          <c:tx>
            <c:strRef>
              <c:f>'Income Statement'!$J$1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6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Statement'!$A$10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'Income Statement'!$J$10</c:f>
              <c:numCache>
                <c:formatCode>General</c:formatCode>
                <c:ptCount val="1"/>
                <c:pt idx="0">
                  <c:v>1326.93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27-442E-8256-E671CD23F01B}"/>
            </c:ext>
          </c:extLst>
        </c:ser>
        <c:ser>
          <c:idx val="9"/>
          <c:order val="9"/>
          <c:tx>
            <c:strRef>
              <c:f>'Income Statement'!$K$1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Statement'!$A$10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'Income Statement'!$K$10</c:f>
              <c:numCache>
                <c:formatCode>General</c:formatCode>
                <c:ptCount val="1"/>
                <c:pt idx="0">
                  <c:v>1368.28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27-442E-8256-E671CD23F01B}"/>
            </c:ext>
          </c:extLst>
        </c:ser>
        <c:ser>
          <c:idx val="10"/>
          <c:order val="10"/>
          <c:tx>
            <c:strRef>
              <c:f>'Income Statement'!$L$1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accent6">
                        <a:lumMod val="40000"/>
                        <a:lumOff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'Income Statement'!$A$10</c:f>
              <c:strCache>
                <c:ptCount val="1"/>
                <c:pt idx="0">
                  <c:v>Net profit</c:v>
                </c:pt>
              </c:strCache>
            </c:strRef>
          </c:cat>
          <c:val>
            <c:numRef>
              <c:f>'Income Statement'!$L$10</c:f>
              <c:numCache>
                <c:formatCode>General</c:formatCode>
                <c:ptCount val="1"/>
                <c:pt idx="0">
                  <c:v>1574.08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27-442E-8256-E671CD23F01B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610479551"/>
        <c:axId val="610474975"/>
      </c:barChart>
      <c:catAx>
        <c:axId val="610479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spc="120" normalizeH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474975"/>
        <c:crosses val="autoZero"/>
        <c:auto val="1"/>
        <c:lblAlgn val="ctr"/>
        <c:lblOffset val="100"/>
        <c:noMultiLvlLbl val="0"/>
      </c:catAx>
      <c:valAx>
        <c:axId val="610474975"/>
        <c:scaling>
          <c:orientation val="minMax"/>
        </c:scaling>
        <c:delete val="0"/>
        <c:axPos val="l"/>
        <c:minorGridlines>
          <c:spPr>
            <a:ln>
              <a:solidFill>
                <a:schemeClr val="tx1">
                  <a:lumMod val="5000"/>
                  <a:lumOff val="95000"/>
                </a:schemeClr>
              </a:solidFill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47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rgbClr val="FF0000"/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tx1"/>
      </a:solidFill>
      <a:round/>
    </a:ln>
    <a:effectLst>
      <a:glow rad="63500">
        <a:schemeClr val="accent6">
          <a:lumMod val="40000"/>
          <a:lumOff val="60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Bernard MT Condensed" panose="02050806060905020404" pitchFamily="18" charset="0"/>
                <a:ea typeface="+mn-ea"/>
                <a:cs typeface="+mn-cs"/>
              </a:defRPr>
            </a:pPr>
            <a:r>
              <a:rPr lang="en-IN" b="0">
                <a:solidFill>
                  <a:srgbClr val="002060"/>
                </a:solidFill>
                <a:latin typeface="Bernard MT Condensed" panose="02050806060905020404" pitchFamily="18" charset="0"/>
              </a:rPr>
              <a:t>Sales</a:t>
            </a:r>
            <a:r>
              <a:rPr lang="en-IN" b="0" baseline="0">
                <a:solidFill>
                  <a:srgbClr val="002060"/>
                </a:solidFill>
                <a:latin typeface="Bernard MT Condensed" panose="02050806060905020404" pitchFamily="18" charset="0"/>
              </a:rPr>
              <a:t> vs Expenses Trend</a:t>
            </a:r>
            <a:endParaRPr lang="en-IN" b="0">
              <a:solidFill>
                <a:srgbClr val="002060"/>
              </a:solidFill>
              <a:latin typeface="Bernard MT Condensed" panose="020508060609050204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Bernard MT Condensed" panose="02050806060905020404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'Income Statement'!$A$2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 cmpd="sng">
              <a:solidFill>
                <a:schemeClr val="bg2">
                  <a:lumMod val="2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>
                  <a:lumMod val="85000"/>
                  <a:lumOff val="15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'Income Statement'!$B$1:$L$1</c:f>
              <c:strCache>
                <c:ptCount val="11"/>
                <c:pt idx="0">
                  <c:v>Mar-14</c:v>
                </c:pt>
                <c:pt idx="1">
                  <c:v>Mar-15</c:v>
                </c:pt>
                <c:pt idx="2">
                  <c:v>Mar-16</c:v>
                </c:pt>
                <c:pt idx="3">
                  <c:v>Mar-17</c:v>
                </c:pt>
                <c:pt idx="4">
                  <c:v>Mar-18</c:v>
                </c:pt>
                <c:pt idx="5">
                  <c:v>Mar-19</c:v>
                </c:pt>
                <c:pt idx="6">
                  <c:v>Mar-20</c:v>
                </c:pt>
                <c:pt idx="7">
                  <c:v>Mar-21</c:v>
                </c:pt>
                <c:pt idx="8">
                  <c:v>Mar-22</c:v>
                </c:pt>
                <c:pt idx="9">
                  <c:v>Mar-23</c:v>
                </c:pt>
                <c:pt idx="10">
                  <c:v>Mar-24</c:v>
                </c:pt>
              </c:strCache>
            </c:strRef>
          </c:cat>
          <c:val>
            <c:numRef>
              <c:f>'Income Statement'!$B$2:$L$2</c:f>
              <c:numCache>
                <c:formatCode>#,##0</c:formatCode>
                <c:ptCount val="11"/>
                <c:pt idx="0">
                  <c:v>17166</c:v>
                </c:pt>
                <c:pt idx="1">
                  <c:v>27215.02</c:v>
                </c:pt>
                <c:pt idx="2">
                  <c:v>18140.55</c:v>
                </c:pt>
                <c:pt idx="3">
                  <c:v>30646.61</c:v>
                </c:pt>
                <c:pt idx="4">
                  <c:v>32259.93</c:v>
                </c:pt>
                <c:pt idx="5">
                  <c:v>38854.68</c:v>
                </c:pt>
                <c:pt idx="6">
                  <c:v>29380.400000000001</c:v>
                </c:pt>
                <c:pt idx="7">
                  <c:v>71528.03</c:v>
                </c:pt>
                <c:pt idx="8">
                  <c:v>67125.820000000007</c:v>
                </c:pt>
                <c:pt idx="9">
                  <c:v>70207.08</c:v>
                </c:pt>
                <c:pt idx="10">
                  <c:v>101481.8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8-4169-83E6-DD236653A8A9}"/>
            </c:ext>
          </c:extLst>
        </c:ser>
        <c:ser>
          <c:idx val="1"/>
          <c:order val="1"/>
          <c:tx>
            <c:strRef>
              <c:f>'Income Statement'!$A$3</c:f>
              <c:strCache>
                <c:ptCount val="1"/>
                <c:pt idx="0">
                  <c:v>Expenses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'Income Statement'!$B$1:$L$1</c:f>
              <c:strCache>
                <c:ptCount val="11"/>
                <c:pt idx="0">
                  <c:v>Mar-14</c:v>
                </c:pt>
                <c:pt idx="1">
                  <c:v>Mar-15</c:v>
                </c:pt>
                <c:pt idx="2">
                  <c:v>Mar-16</c:v>
                </c:pt>
                <c:pt idx="3">
                  <c:v>Mar-17</c:v>
                </c:pt>
                <c:pt idx="4">
                  <c:v>Mar-18</c:v>
                </c:pt>
                <c:pt idx="5">
                  <c:v>Mar-19</c:v>
                </c:pt>
                <c:pt idx="6">
                  <c:v>Mar-20</c:v>
                </c:pt>
                <c:pt idx="7">
                  <c:v>Mar-21</c:v>
                </c:pt>
                <c:pt idx="8">
                  <c:v>Mar-22</c:v>
                </c:pt>
                <c:pt idx="9">
                  <c:v>Mar-23</c:v>
                </c:pt>
                <c:pt idx="10">
                  <c:v>Mar-24</c:v>
                </c:pt>
              </c:strCache>
            </c:strRef>
          </c:cat>
          <c:val>
            <c:numRef>
              <c:f>'Income Statement'!$B$3:$L$3</c:f>
              <c:numCache>
                <c:formatCode>#,##0</c:formatCode>
                <c:ptCount val="11"/>
                <c:pt idx="0">
                  <c:v>16561</c:v>
                </c:pt>
                <c:pt idx="1">
                  <c:v>26341.390000000003</c:v>
                </c:pt>
                <c:pt idx="2">
                  <c:v>17187.289999999997</c:v>
                </c:pt>
                <c:pt idx="3">
                  <c:v>29674.379999999997</c:v>
                </c:pt>
                <c:pt idx="4">
                  <c:v>31185.890000000003</c:v>
                </c:pt>
                <c:pt idx="5">
                  <c:v>37640.130000000005</c:v>
                </c:pt>
                <c:pt idx="6">
                  <c:v>28239.430000000004</c:v>
                </c:pt>
                <c:pt idx="7">
                  <c:v>70293.51999999999</c:v>
                </c:pt>
                <c:pt idx="8">
                  <c:v>66348.070000000007</c:v>
                </c:pt>
                <c:pt idx="9">
                  <c:v>70127.149999999994</c:v>
                </c:pt>
                <c:pt idx="10">
                  <c:v>100950.58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E8-4169-83E6-DD236653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219"/>
          <c:upBars>
            <c:spPr>
              <a:solidFill>
                <a:schemeClr val="accent4">
                  <a:lumMod val="20000"/>
                  <a:lumOff val="80000"/>
                </a:schemeClr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marker val="1"/>
        <c:smooth val="0"/>
        <c:axId val="1751531855"/>
        <c:axId val="1751528943"/>
      </c:lineChart>
      <c:catAx>
        <c:axId val="17515318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528943"/>
        <c:crosses val="autoZero"/>
        <c:auto val="1"/>
        <c:lblAlgn val="ctr"/>
        <c:lblOffset val="100"/>
        <c:noMultiLvlLbl val="0"/>
      </c:catAx>
      <c:valAx>
        <c:axId val="17515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531855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accent6">
            <a:lumMod val="40000"/>
            <a:lumOff val="60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2700000" scaled="1"/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Asset</a:t>
            </a:r>
            <a:r>
              <a:rPr lang="en-IN" baseline="0"/>
              <a:t> vs Liabilities Composition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'Balance Sheet'!$B$1</c:f>
              <c:strCache>
                <c:ptCount val="1"/>
                <c:pt idx="0">
                  <c:v>Mar-14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('Balance Sheet'!$A$6,'Balance Sheet'!$A$12)</c:f>
              <c:strCache>
                <c:ptCount val="2"/>
                <c:pt idx="0">
                  <c:v>Total Liabilities</c:v>
                </c:pt>
                <c:pt idx="1">
                  <c:v>Total Assets</c:v>
                </c:pt>
              </c:strCache>
            </c:strRef>
          </c:cat>
          <c:val>
            <c:numRef>
              <c:f>('Balance Sheet'!$B$6,'Balance Sheet'!$B$12)</c:f>
              <c:numCache>
                <c:formatCode>General</c:formatCode>
                <c:ptCount val="2"/>
                <c:pt idx="0">
                  <c:v>52275</c:v>
                </c:pt>
                <c:pt idx="1">
                  <c:v>52275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D-452C-9940-EC21A875C220}"/>
            </c:ext>
          </c:extLst>
        </c:ser>
        <c:ser>
          <c:idx val="1"/>
          <c:order val="1"/>
          <c:tx>
            <c:strRef>
              <c:f>'Balance Sheet'!$C$1</c:f>
              <c:strCache>
                <c:ptCount val="1"/>
                <c:pt idx="0">
                  <c:v>Mar-15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('Balance Sheet'!$A$6,'Balance Sheet'!$A$12)</c:f>
              <c:strCache>
                <c:ptCount val="2"/>
                <c:pt idx="0">
                  <c:v>Total Liabilities</c:v>
                </c:pt>
                <c:pt idx="1">
                  <c:v>Total Assets</c:v>
                </c:pt>
              </c:strCache>
            </c:strRef>
          </c:cat>
          <c:val>
            <c:numRef>
              <c:f>('Balance Sheet'!$C$6,'Balance Sheet'!$C$12)</c:f>
              <c:numCache>
                <c:formatCode>General</c:formatCode>
                <c:ptCount val="2"/>
                <c:pt idx="0" formatCode="#,##0">
                  <c:v>69308.52</c:v>
                </c:pt>
                <c:pt idx="1">
                  <c:v>69308.52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AD-452C-9940-EC21A875C220}"/>
            </c:ext>
          </c:extLst>
        </c:ser>
        <c:ser>
          <c:idx val="2"/>
          <c:order val="2"/>
          <c:tx>
            <c:strRef>
              <c:f>'Balance Sheet'!$D$1</c:f>
              <c:strCache>
                <c:ptCount val="1"/>
                <c:pt idx="0">
                  <c:v>Mar-16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('Balance Sheet'!$A$6,'Balance Sheet'!$A$12)</c:f>
              <c:strCache>
                <c:ptCount val="2"/>
                <c:pt idx="0">
                  <c:v>Total Liabilities</c:v>
                </c:pt>
                <c:pt idx="1">
                  <c:v>Total Assets</c:v>
                </c:pt>
              </c:strCache>
            </c:strRef>
          </c:cat>
          <c:val>
            <c:numRef>
              <c:f>('Balance Sheet'!$D$6,'Balance Sheet'!$D$12)</c:f>
              <c:numCache>
                <c:formatCode>General</c:formatCode>
                <c:ptCount val="2"/>
                <c:pt idx="0" formatCode="#,##0">
                  <c:v>76544.38</c:v>
                </c:pt>
                <c:pt idx="1">
                  <c:v>76544.38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AD-452C-9940-EC21A875C220}"/>
            </c:ext>
          </c:extLst>
        </c:ser>
        <c:ser>
          <c:idx val="3"/>
          <c:order val="3"/>
          <c:tx>
            <c:strRef>
              <c:f>'Balance Sheet'!$E$1</c:f>
              <c:strCache>
                <c:ptCount val="1"/>
                <c:pt idx="0">
                  <c:v>Mar-17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('Balance Sheet'!$A$6,'Balance Sheet'!$A$12)</c:f>
              <c:strCache>
                <c:ptCount val="2"/>
                <c:pt idx="0">
                  <c:v>Total Liabilities</c:v>
                </c:pt>
                <c:pt idx="1">
                  <c:v>Total Assets</c:v>
                </c:pt>
              </c:strCache>
            </c:strRef>
          </c:cat>
          <c:val>
            <c:numRef>
              <c:f>('Balance Sheet'!$E$6,'Balance Sheet'!$E$12)</c:f>
              <c:numCache>
                <c:formatCode>General</c:formatCode>
                <c:ptCount val="2"/>
                <c:pt idx="0" formatCode="#,##0">
                  <c:v>95096.57</c:v>
                </c:pt>
                <c:pt idx="1">
                  <c:v>95096.57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AD-452C-9940-EC21A875C220}"/>
            </c:ext>
          </c:extLst>
        </c:ser>
        <c:ser>
          <c:idx val="4"/>
          <c:order val="4"/>
          <c:tx>
            <c:strRef>
              <c:f>'Balance Sheet'!$F$1</c:f>
              <c:strCache>
                <c:ptCount val="1"/>
                <c:pt idx="0">
                  <c:v>Mar-18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('Balance Sheet'!$A$6,'Balance Sheet'!$A$12)</c:f>
              <c:strCache>
                <c:ptCount val="2"/>
                <c:pt idx="0">
                  <c:v>Total Liabilities</c:v>
                </c:pt>
                <c:pt idx="1">
                  <c:v>Total Assets</c:v>
                </c:pt>
              </c:strCache>
            </c:strRef>
          </c:cat>
          <c:val>
            <c:numRef>
              <c:f>('Balance Sheet'!$F$6,'Balance Sheet'!$F$12)</c:f>
              <c:numCache>
                <c:formatCode>General</c:formatCode>
                <c:ptCount val="2"/>
                <c:pt idx="0" formatCode="#,##0">
                  <c:v>110482.82</c:v>
                </c:pt>
                <c:pt idx="1">
                  <c:v>110482.82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AD-452C-9940-EC21A875C220}"/>
            </c:ext>
          </c:extLst>
        </c:ser>
        <c:ser>
          <c:idx val="5"/>
          <c:order val="5"/>
          <c:tx>
            <c:strRef>
              <c:f>'Balance Sheet'!$G$1</c:f>
              <c:strCache>
                <c:ptCount val="1"/>
                <c:pt idx="0">
                  <c:v>Mar-19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('Balance Sheet'!$A$6,'Balance Sheet'!$A$12)</c:f>
              <c:strCache>
                <c:ptCount val="2"/>
                <c:pt idx="0">
                  <c:v>Total Liabilities</c:v>
                </c:pt>
                <c:pt idx="1">
                  <c:v>Total Assets</c:v>
                </c:pt>
              </c:strCache>
            </c:strRef>
          </c:cat>
          <c:val>
            <c:numRef>
              <c:f>('Balance Sheet'!$G$6,'Balance Sheet'!$G$12)</c:f>
              <c:numCache>
                <c:formatCode>General</c:formatCode>
                <c:ptCount val="2"/>
                <c:pt idx="0" formatCode="#,##0">
                  <c:v>130020.41</c:v>
                </c:pt>
                <c:pt idx="1">
                  <c:v>130020.41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AAD-452C-9940-EC21A875C220}"/>
            </c:ext>
          </c:extLst>
        </c:ser>
        <c:ser>
          <c:idx val="6"/>
          <c:order val="6"/>
          <c:tx>
            <c:strRef>
              <c:f>'Balance Sheet'!$H$1</c:f>
              <c:strCache>
                <c:ptCount val="1"/>
                <c:pt idx="0">
                  <c:v>Mar-20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('Balance Sheet'!$A$6,'Balance Sheet'!$A$12)</c:f>
              <c:strCache>
                <c:ptCount val="2"/>
                <c:pt idx="0">
                  <c:v>Total Liabilities</c:v>
                </c:pt>
                <c:pt idx="1">
                  <c:v>Total Assets</c:v>
                </c:pt>
              </c:strCache>
            </c:strRef>
          </c:cat>
          <c:val>
            <c:numRef>
              <c:f>('Balance Sheet'!$H$6,'Balance Sheet'!$H$12)</c:f>
              <c:numCache>
                <c:formatCode>General</c:formatCode>
                <c:ptCount val="2"/>
                <c:pt idx="0" formatCode="#,##0">
                  <c:v>132223.85</c:v>
                </c:pt>
                <c:pt idx="1">
                  <c:v>132223.85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AAD-452C-9940-EC21A875C220}"/>
            </c:ext>
          </c:extLst>
        </c:ser>
        <c:ser>
          <c:idx val="7"/>
          <c:order val="7"/>
          <c:tx>
            <c:strRef>
              <c:f>'Balance Sheet'!$I$1</c:f>
              <c:strCache>
                <c:ptCount val="1"/>
                <c:pt idx="0">
                  <c:v>Mar-21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('Balance Sheet'!$A$6,'Balance Sheet'!$A$12)</c:f>
              <c:strCache>
                <c:ptCount val="2"/>
                <c:pt idx="0">
                  <c:v>Total Liabilities</c:v>
                </c:pt>
                <c:pt idx="1">
                  <c:v>Total Assets</c:v>
                </c:pt>
              </c:strCache>
            </c:strRef>
          </c:cat>
          <c:val>
            <c:numRef>
              <c:f>('Balance Sheet'!$I$6,'Balance Sheet'!$I$12)</c:f>
              <c:numCache>
                <c:formatCode>General</c:formatCode>
                <c:ptCount val="2"/>
                <c:pt idx="0" formatCode="#,##0">
                  <c:v>179655.04000000001</c:v>
                </c:pt>
                <c:pt idx="1">
                  <c:v>179655.04000000001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AAD-452C-9940-EC21A875C220}"/>
            </c:ext>
          </c:extLst>
        </c:ser>
        <c:ser>
          <c:idx val="8"/>
          <c:order val="8"/>
          <c:tx>
            <c:strRef>
              <c:f>'Balance Sheet'!$J$1</c:f>
              <c:strCache>
                <c:ptCount val="1"/>
                <c:pt idx="0">
                  <c:v>Mar-22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('Balance Sheet'!$A$6,'Balance Sheet'!$A$12)</c:f>
              <c:strCache>
                <c:ptCount val="2"/>
                <c:pt idx="0">
                  <c:v>Total Liabilities</c:v>
                </c:pt>
                <c:pt idx="1">
                  <c:v>Total Assets</c:v>
                </c:pt>
              </c:strCache>
            </c:strRef>
          </c:cat>
          <c:val>
            <c:numRef>
              <c:f>('Balance Sheet'!$J$6,'Balance Sheet'!$J$12)</c:f>
              <c:numCache>
                <c:formatCode>General</c:formatCode>
                <c:ptCount val="2"/>
                <c:pt idx="0" formatCode="#,##0">
                  <c:v>230734.45</c:v>
                </c:pt>
                <c:pt idx="1">
                  <c:v>230734.45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AAD-452C-9940-EC21A875C220}"/>
            </c:ext>
          </c:extLst>
        </c:ser>
        <c:ser>
          <c:idx val="9"/>
          <c:order val="9"/>
          <c:tx>
            <c:strRef>
              <c:f>'Balance Sheet'!$K$1</c:f>
              <c:strCache>
                <c:ptCount val="1"/>
                <c:pt idx="0">
                  <c:v>Mar-23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('Balance Sheet'!$A$6,'Balance Sheet'!$A$12)</c:f>
              <c:strCache>
                <c:ptCount val="2"/>
                <c:pt idx="0">
                  <c:v>Total Liabilities</c:v>
                </c:pt>
                <c:pt idx="1">
                  <c:v>Total Assets</c:v>
                </c:pt>
              </c:strCache>
            </c:strRef>
          </c:cat>
          <c:val>
            <c:numRef>
              <c:f>('Balance Sheet'!$K$6,'Balance Sheet'!$K$12)</c:f>
              <c:numCache>
                <c:formatCode>General</c:formatCode>
                <c:ptCount val="2"/>
                <c:pt idx="0" formatCode="#,##0">
                  <c:v>248069.25</c:v>
                </c:pt>
                <c:pt idx="1">
                  <c:v>248069.25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AAD-452C-9940-EC21A875C220}"/>
            </c:ext>
          </c:extLst>
        </c:ser>
        <c:ser>
          <c:idx val="10"/>
          <c:order val="10"/>
          <c:tx>
            <c:strRef>
              <c:f>'Balance Sheet'!$L$1</c:f>
              <c:strCache>
                <c:ptCount val="1"/>
                <c:pt idx="0">
                  <c:v>Mar-24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('Balance Sheet'!$A$6,'Balance Sheet'!$A$12)</c:f>
              <c:strCache>
                <c:ptCount val="2"/>
                <c:pt idx="0">
                  <c:v>Total Liabilities</c:v>
                </c:pt>
                <c:pt idx="1">
                  <c:v>Total Assets</c:v>
                </c:pt>
              </c:strCache>
            </c:strRef>
          </c:cat>
          <c:val>
            <c:numRef>
              <c:f>('Balance Sheet'!$L$6,'Balance Sheet'!$L$12)</c:f>
              <c:numCache>
                <c:formatCode>General</c:formatCode>
                <c:ptCount val="2"/>
                <c:pt idx="0" formatCode="#,##0">
                  <c:v>302686.95</c:v>
                </c:pt>
                <c:pt idx="1">
                  <c:v>302686.95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AAD-452C-9940-EC21A875C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05175167"/>
        <c:axId val="1705184735"/>
      </c:barChart>
      <c:catAx>
        <c:axId val="170517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84735"/>
        <c:crosses val="autoZero"/>
        <c:auto val="1"/>
        <c:lblAlgn val="ctr"/>
        <c:lblOffset val="100"/>
        <c:noMultiLvlLbl val="0"/>
      </c:catAx>
      <c:valAx>
        <c:axId val="1705184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175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4">
            <a:lumMod val="5000"/>
            <a:lumOff val="95000"/>
          </a:schemeClr>
        </a:gs>
        <a:gs pos="74000">
          <a:schemeClr val="accent4">
            <a:lumMod val="45000"/>
            <a:lumOff val="55000"/>
          </a:schemeClr>
        </a:gs>
        <a:gs pos="83000">
          <a:schemeClr val="accent4">
            <a:lumMod val="45000"/>
            <a:lumOff val="55000"/>
          </a:schemeClr>
        </a:gs>
        <a:gs pos="100000">
          <a:schemeClr val="accent4">
            <a:lumMod val="30000"/>
            <a:lumOff val="70000"/>
          </a:schemeClr>
        </a:gs>
      </a:gsLst>
      <a:path path="rect">
        <a:fillToRect r="100000" b="100000"/>
      </a:path>
      <a:tileRect l="-100000" t="-100000"/>
    </a:gradFill>
    <a:ln w="9525" cap="flat" cmpd="sng" algn="ctr">
      <a:gradFill flip="none" rotWithShape="1">
        <a:gsLst>
          <a:gs pos="5000">
            <a:schemeClr val="accent4">
              <a:lumMod val="5000"/>
              <a:lumOff val="95000"/>
            </a:schemeClr>
          </a:gs>
          <a:gs pos="74000">
            <a:schemeClr val="accent4">
              <a:lumMod val="45000"/>
              <a:lumOff val="55000"/>
            </a:schemeClr>
          </a:gs>
          <a:gs pos="83000">
            <a:schemeClr val="accent4">
              <a:lumMod val="45000"/>
              <a:lumOff val="55000"/>
            </a:schemeClr>
          </a:gs>
          <a:gs pos="100000">
            <a:schemeClr val="accent4">
              <a:lumMod val="30000"/>
              <a:lumOff val="70000"/>
            </a:schemeClr>
          </a:gs>
        </a:gsLst>
        <a:lin ang="5400000" scaled="1"/>
        <a:tileRect/>
      </a:gradFill>
      <a:round/>
    </a:ln>
    <a:effectLst>
      <a:softEdge rad="381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Arial Narrow" panose="020B0606020202030204" pitchFamily="34" charset="0"/>
              </a:rPr>
              <a:t>Revenue Growth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Ratios!$H$14</c:f>
              <c:strCache>
                <c:ptCount val="1"/>
                <c:pt idx="0">
                  <c:v>Revenue Growth Rate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Ratios!$F$15:$F$25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cat>
          <c:val>
            <c:numRef>
              <c:f>Ratios!$H$15:$H$25</c:f>
              <c:numCache>
                <c:formatCode>0.00</c:formatCode>
                <c:ptCount val="11"/>
                <c:pt idx="0">
                  <c:v>0</c:v>
                </c:pt>
                <c:pt idx="1">
                  <c:v>56.793244097202276</c:v>
                </c:pt>
                <c:pt idx="2">
                  <c:v>-33.140365661524932</c:v>
                </c:pt>
                <c:pt idx="3">
                  <c:v>68.703419552827711</c:v>
                </c:pt>
                <c:pt idx="4">
                  <c:v>5.7040766607113849</c:v>
                </c:pt>
                <c:pt idx="5">
                  <c:v>19.818075658400172</c:v>
                </c:pt>
                <c:pt idx="6">
                  <c:v>-23.700948961272118</c:v>
                </c:pt>
                <c:pt idx="7">
                  <c:v>141.93418266160208</c:v>
                </c:pt>
                <c:pt idx="8">
                  <c:v>-5.6701818737582146</c:v>
                </c:pt>
                <c:pt idx="9">
                  <c:v>5.5264243209803805</c:v>
                </c:pt>
                <c:pt idx="10">
                  <c:v>42.380380771592876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D-4F3D-B614-347AD42F8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645231"/>
        <c:axId val="1252648255"/>
      </c:areaChart>
      <c:catAx>
        <c:axId val="1252645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48255"/>
        <c:crosses val="autoZero"/>
        <c:auto val="1"/>
        <c:lblAlgn val="ctr"/>
        <c:lblOffset val="100"/>
        <c:noMultiLvlLbl val="0"/>
      </c:catAx>
      <c:valAx>
        <c:axId val="12526482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out"/>
        <c:minorTickMark val="none"/>
        <c:tickLblPos val="nextTo"/>
        <c:crossAx val="12526452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Capital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ubbleChart>
        <c:varyColors val="0"/>
        <c:ser>
          <c:idx val="0"/>
          <c:order val="0"/>
          <c:tx>
            <c:strRef>
              <c:f>Ratios!$D$14</c:f>
              <c:strCache>
                <c:ptCount val="1"/>
                <c:pt idx="0">
                  <c:v>Debt to Equity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Ratios!$A$15:$A$25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xVal>
          <c:yVal>
            <c:numRef>
              <c:f>Ratios!$D$15:$D$25</c:f>
              <c:numCache>
                <c:formatCode>0.00</c:formatCode>
                <c:ptCount val="11"/>
                <c:pt idx="0">
                  <c:v>27.113589211618258</c:v>
                </c:pt>
                <c:pt idx="1">
                  <c:v>27.273074985833912</c:v>
                </c:pt>
                <c:pt idx="2">
                  <c:v>24.663968628866215</c:v>
                </c:pt>
                <c:pt idx="3">
                  <c:v>24.853271550732824</c:v>
                </c:pt>
                <c:pt idx="4">
                  <c:v>23.48145314349718</c:v>
                </c:pt>
                <c:pt idx="5">
                  <c:v>23.042641690001062</c:v>
                </c:pt>
                <c:pt idx="6">
                  <c:v>19.42577226288525</c:v>
                </c:pt>
                <c:pt idx="7">
                  <c:v>20.79391281501055</c:v>
                </c:pt>
                <c:pt idx="8">
                  <c:v>14.778042224176396</c:v>
                </c:pt>
                <c:pt idx="9">
                  <c:v>19.092324872971432</c:v>
                </c:pt>
                <c:pt idx="10">
                  <c:v>20.638192188240428</c:v>
                </c:pt>
              </c:numCache>
            </c:numRef>
          </c:yVal>
          <c:bubbleSize>
            <c:numLit>
              <c:formatCode>General</c:formatCode>
              <c:ptCount val="11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</c:numLit>
          </c:bubbleSize>
          <c:bubble3D val="1"/>
          <c:extLst>
            <c:ext xmlns:c16="http://schemas.microsoft.com/office/drawing/2014/chart" uri="{C3380CC4-5D6E-409C-BE32-E72D297353CC}">
              <c16:uniqueId val="{00000000-3DA7-4858-BD70-6F6F5CDDDF8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bubbleScale val="100"/>
        <c:showNegBubbles val="0"/>
        <c:axId val="1310202127"/>
        <c:axId val="1310205583"/>
      </c:bubbleChart>
      <c:valAx>
        <c:axId val="1310202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05583"/>
        <c:crosses val="autoZero"/>
        <c:crossBetween val="midCat"/>
      </c:valAx>
      <c:valAx>
        <c:axId val="131020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202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38100" cap="flat" cmpd="sng" algn="ctr">
      <a:solidFill>
        <a:schemeClr val="accent5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Profitability</a:t>
            </a:r>
            <a:r>
              <a:rPr lang="en-IN" baseline="0"/>
              <a:t> Trend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Ratios!$A$2</c:f>
              <c:strCache>
                <c:ptCount val="1"/>
                <c:pt idx="0">
                  <c:v>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val>
            <c:numRef>
              <c:f>Ratios!$A$3:$A$12</c:f>
              <c:numCache>
                <c:formatCode>General</c:formatCode>
                <c:ptCount val="10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17-4F35-8676-C59BF6F790D0}"/>
            </c:ext>
          </c:extLst>
        </c:ser>
        <c:ser>
          <c:idx val="1"/>
          <c:order val="1"/>
          <c:tx>
            <c:strRef>
              <c:f>Ratios!$F$2</c:f>
              <c:strCache>
                <c:ptCount val="1"/>
                <c:pt idx="0">
                  <c:v>ROE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val>
            <c:numRef>
              <c:f>Ratios!$F$3:$F$12</c:f>
              <c:numCache>
                <c:formatCode>0.00</c:formatCode>
                <c:ptCount val="10"/>
                <c:pt idx="0">
                  <c:v>35.151523287867391</c:v>
                </c:pt>
                <c:pt idx="1">
                  <c:v>28.939708792386575</c:v>
                </c:pt>
                <c:pt idx="2">
                  <c:v>25.597238596729206</c:v>
                </c:pt>
                <c:pt idx="3">
                  <c:v>25.955789357704397</c:v>
                </c:pt>
                <c:pt idx="4">
                  <c:v>24.699764488954564</c:v>
                </c:pt>
                <c:pt idx="5">
                  <c:v>20.843715509887364</c:v>
                </c:pt>
                <c:pt idx="6">
                  <c:v>17.620534480180183</c:v>
                </c:pt>
                <c:pt idx="7">
                  <c:v>10.942344737501815</c:v>
                </c:pt>
                <c:pt idx="8">
                  <c:v>9.5662275002822792</c:v>
                </c:pt>
                <c:pt idx="9">
                  <c:v>11.38184398916972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17-4F35-8676-C59BF6F790D0}"/>
            </c:ext>
          </c:extLst>
        </c:ser>
        <c:ser>
          <c:idx val="2"/>
          <c:order val="2"/>
          <c:tx>
            <c:strRef>
              <c:f>Ratios!$J$2</c:f>
              <c:strCache>
                <c:ptCount val="1"/>
                <c:pt idx="0">
                  <c:v>ROA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val>
            <c:numRef>
              <c:f>Ratios!$J$3:$J$12</c:f>
              <c:numCache>
                <c:formatCode>0.00</c:formatCode>
                <c:ptCount val="10"/>
                <c:pt idx="0">
                  <c:v>1.2921323547796608</c:v>
                </c:pt>
                <c:pt idx="1">
                  <c:v>1.1200188683255525</c:v>
                </c:pt>
                <c:pt idx="2">
                  <c:v>1.0334596726480481</c:v>
                </c:pt>
                <c:pt idx="3">
                  <c:v>1.0771507785872891</c:v>
                </c:pt>
                <c:pt idx="4">
                  <c:v>1.0627133781113876</c:v>
                </c:pt>
                <c:pt idx="5">
                  <c:v>0.98948972229172905</c:v>
                </c:pt>
                <c:pt idx="6">
                  <c:v>0.87269131937721067</c:v>
                </c:pt>
                <c:pt idx="7">
                  <c:v>0.64666860742462007</c:v>
                </c:pt>
                <c:pt idx="8">
                  <c:v>0.57154111382180217</c:v>
                </c:pt>
                <c:pt idx="9">
                  <c:v>0.57160681985967665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17-4F35-8676-C59BF6F790D0}"/>
            </c:ext>
          </c:extLst>
        </c:ser>
        <c:ser>
          <c:idx val="3"/>
          <c:order val="3"/>
          <c:tx>
            <c:strRef>
              <c:f>Ratios!$M$14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val>
            <c:numRef>
              <c:f>Ratios!$M$15:$M$25</c:f>
              <c:numCache>
                <c:formatCode>0.00</c:formatCode>
                <c:ptCount val="11"/>
                <c:pt idx="0">
                  <c:v>4.164991095536279</c:v>
                </c:pt>
                <c:pt idx="1">
                  <c:v>2.8780639724471477</c:v>
                </c:pt>
                <c:pt idx="2">
                  <c:v>4.4760521701008322</c:v>
                </c:pt>
                <c:pt idx="3">
                  <c:v>2.8810134805911969</c:v>
                </c:pt>
                <c:pt idx="4">
                  <c:v>3.4024768753265113</c:v>
                </c:pt>
                <c:pt idx="5">
                  <c:v>3.2775839958963839</c:v>
                </c:pt>
                <c:pt idx="6">
                  <c:v>4.3612894551077348</c:v>
                </c:pt>
                <c:pt idx="7">
                  <c:v>1.8908062745751877</c:v>
                </c:pt>
                <c:pt idx="8">
                  <c:v>1.9544718081659105</c:v>
                </c:pt>
                <c:pt idx="9">
                  <c:v>1.9098319468483054</c:v>
                </c:pt>
                <c:pt idx="10">
                  <c:v>1.5431097865832737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17-4F35-8676-C59BF6F79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646527"/>
        <c:axId val="1252649551"/>
        <c:axId val="1210645807"/>
      </c:line3DChart>
      <c:catAx>
        <c:axId val="125264652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49551"/>
        <c:crosses val="autoZero"/>
        <c:auto val="1"/>
        <c:lblAlgn val="ctr"/>
        <c:lblOffset val="100"/>
        <c:noMultiLvlLbl val="0"/>
      </c:catAx>
      <c:valAx>
        <c:axId val="12526495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crossAx val="1252646527"/>
        <c:crosses val="autoZero"/>
        <c:crossBetween val="between"/>
      </c:valAx>
      <c:serAx>
        <c:axId val="1210645807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649551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_xlchart.v1.11</cx:f>
      </cx:strDim>
      <cx:numDim type="val">
        <cx:f>_xlchart.v1.12</cx:f>
      </cx:numDim>
    </cx:data>
    <cx:data id="1">
      <cx:strDim type="cat">
        <cx:f>_xlchart.v1.11</cx:f>
      </cx:strDim>
      <cx:numDim type="val">
        <cx:f>_xlchart.v1.13</cx:f>
      </cx:numDim>
    </cx:data>
    <cx:data id="2">
      <cx:strDim type="cat">
        <cx:f>_xlchart.v1.11</cx:f>
      </cx:strDim>
      <cx:numDim type="val">
        <cx:f>_xlchart.v1.14</cx:f>
      </cx:numDim>
    </cx:data>
    <cx:data id="3">
      <cx:strDim type="cat">
        <cx:f>_xlchart.v1.11</cx:f>
      </cx:strDim>
      <cx:numDim type="val">
        <cx:f>_xlchart.v1.15</cx:f>
      </cx:numDim>
    </cx:data>
    <cx:data id="4">
      <cx:strDim type="cat">
        <cx:f>_xlchart.v1.11</cx:f>
      </cx:strDim>
      <cx:numDim type="val">
        <cx:f>_xlchart.v1.16</cx:f>
      </cx:numDim>
    </cx:data>
    <cx:data id="5">
      <cx:strDim type="cat">
        <cx:f>_xlchart.v1.11</cx:f>
      </cx:strDim>
      <cx:numDim type="val">
        <cx:f>_xlchart.v1.17</cx:f>
      </cx:numDim>
    </cx:data>
    <cx:data id="6">
      <cx:strDim type="cat">
        <cx:f>_xlchart.v1.11</cx:f>
      </cx:strDim>
      <cx:numDim type="val">
        <cx:f>_xlchart.v1.18</cx:f>
      </cx:numDim>
    </cx:data>
    <cx:data id="7">
      <cx:strDim type="cat">
        <cx:f>_xlchart.v1.11</cx:f>
      </cx:strDim>
      <cx:numDim type="val">
        <cx:f>_xlchart.v1.19</cx:f>
      </cx:numDim>
    </cx:data>
    <cx:data id="8">
      <cx:strDim type="cat">
        <cx:f>_xlchart.v1.11</cx:f>
      </cx:strDim>
      <cx:numDim type="val">
        <cx:f>_xlchart.v1.20</cx:f>
      </cx:numDim>
    </cx:data>
    <cx:data id="9">
      <cx:strDim type="cat">
        <cx:f>_xlchart.v1.11</cx:f>
      </cx:strDim>
      <cx:numDim type="val">
        <cx:f>_xlchart.v1.21</cx:f>
      </cx:numDim>
    </cx:data>
    <cx:data id="10">
      <cx:strDim type="cat">
        <cx:f>_xlchart.v1.11</cx:f>
      </cx:strDim>
      <cx:numDim type="val">
        <cx:f>_xlchart.v1.22</cx:f>
      </cx:numDim>
    </cx:data>
  </cx:chartData>
  <cx:chart>
    <cx:title pos="t" align="ctr" overlay="0">
      <cx:tx>
        <cx:txData>
          <cx:v>Profitablity Analysis</cx:v>
        </cx:txData>
      </cx:tx>
      <cx:spPr>
        <a:solidFill>
          <a:sysClr val="window" lastClr="FFFFFF"/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b="0">
              <a:latin typeface="Arial Black" panose="020B0A04020102020204" pitchFamily="34" charset="0"/>
              <a:ea typeface="Arial Black" panose="020B0A04020102020204" pitchFamily="34" charset="0"/>
              <a:cs typeface="Arial Black" panose="020B0A04020102020204" pitchFamily="34" charset="0"/>
            </a:defRPr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 Black" panose="020B0A04020102020204" pitchFamily="34" charset="0"/>
            </a:rPr>
            <a:t>Profitablity Analysis</a:t>
          </a:r>
        </a:p>
      </cx:txPr>
    </cx:title>
    <cx:plotArea>
      <cx:plotAreaRegion>
        <cx:series layoutId="waterfall" uniqueId="{B6E24230-F2A5-4EED-BA69-5CE53341D769}" formatIdx="0">
          <cx:tx>
            <cx:txData>
              <cx:f>_xlchart.v1.0</cx:f>
              <cx:v>Mar-14</cx:v>
            </cx:txData>
          </cx:tx>
          <cx:dataId val="0"/>
          <cx:layoutPr>
            <cx:visibility connectorLines="1"/>
            <cx:subtotals/>
          </cx:layoutPr>
        </cx:series>
        <cx:series layoutId="waterfall" hidden="1" uniqueId="{4D2AD260-3864-4AC1-82F0-0F339F93ED47}" formatIdx="1">
          <cx:tx>
            <cx:txData>
              <cx:f>_xlchart.v1.1</cx:f>
              <cx:v>Mar-15</cx:v>
            </cx:txData>
          </cx:tx>
          <cx:dataId val="1"/>
          <cx:layoutPr>
            <cx:visibility connectorLines="1"/>
            <cx:subtotals/>
          </cx:layoutPr>
        </cx:series>
        <cx:series layoutId="waterfall" hidden="1" uniqueId="{E6E31FD4-6D2D-4D99-842E-A12180A35B6C}" formatIdx="2">
          <cx:tx>
            <cx:txData>
              <cx:f>_xlchart.v1.2</cx:f>
              <cx:v>Mar-16</cx:v>
            </cx:txData>
          </cx:tx>
          <cx:dataId val="2"/>
          <cx:layoutPr>
            <cx:visibility connectorLines="1"/>
            <cx:subtotals/>
          </cx:layoutPr>
        </cx:series>
        <cx:series layoutId="waterfall" hidden="1" uniqueId="{3667370F-1302-48C4-BB15-24809E59954B}" formatIdx="3">
          <cx:tx>
            <cx:txData>
              <cx:f>_xlchart.v1.3</cx:f>
              <cx:v>Mar-17</cx:v>
            </cx:txData>
          </cx:tx>
          <cx:dataId val="3"/>
          <cx:layoutPr>
            <cx:visibility connectorLines="1"/>
            <cx:subtotals/>
          </cx:layoutPr>
        </cx:series>
        <cx:series layoutId="waterfall" hidden="1" uniqueId="{2DEAED0F-652F-4137-A781-AE8628622C2B}" formatIdx="4">
          <cx:tx>
            <cx:txData>
              <cx:f>_xlchart.v1.4</cx:f>
              <cx:v>Mar-18</cx:v>
            </cx:txData>
          </cx:tx>
          <cx:dataId val="4"/>
          <cx:layoutPr>
            <cx:visibility connectorLines="1"/>
            <cx:subtotals/>
          </cx:layoutPr>
        </cx:series>
        <cx:series layoutId="waterfall" hidden="1" uniqueId="{316F62B2-2C92-4B9C-874A-91C91D62793C}" formatIdx="5">
          <cx:tx>
            <cx:txData>
              <cx:f>_xlchart.v1.5</cx:f>
              <cx:v>Mar-19</cx:v>
            </cx:txData>
          </cx:tx>
          <cx:dataId val="5"/>
          <cx:layoutPr>
            <cx:visibility connectorLines="1"/>
            <cx:subtotals/>
          </cx:layoutPr>
        </cx:series>
        <cx:series layoutId="waterfall" hidden="1" uniqueId="{3AA470CF-15E2-4648-B979-C4476962933C}" formatIdx="6">
          <cx:tx>
            <cx:txData>
              <cx:f>_xlchart.v1.6</cx:f>
              <cx:v>Mar-20</cx:v>
            </cx:txData>
          </cx:tx>
          <cx:dataId val="6"/>
          <cx:layoutPr>
            <cx:visibility connectorLines="1"/>
            <cx:subtotals/>
          </cx:layoutPr>
        </cx:series>
        <cx:series layoutId="waterfall" hidden="1" uniqueId="{9A99EE2D-8619-4657-912E-E0AEC5A01ED6}" formatIdx="7">
          <cx:tx>
            <cx:txData>
              <cx:f>_xlchart.v1.7</cx:f>
              <cx:v>Mar-21</cx:v>
            </cx:txData>
          </cx:tx>
          <cx:dataId val="7"/>
          <cx:layoutPr>
            <cx:visibility connectorLines="1"/>
            <cx:subtotals/>
          </cx:layoutPr>
        </cx:series>
        <cx:series layoutId="waterfall" hidden="1" uniqueId="{1AF43D4D-95FB-4BCF-8EEF-25F847C9987A}" formatIdx="8">
          <cx:tx>
            <cx:txData>
              <cx:f>_xlchart.v1.8</cx:f>
              <cx:v>Mar-22</cx:v>
            </cx:txData>
          </cx:tx>
          <cx:dataId val="8"/>
          <cx:layoutPr>
            <cx:visibility connectorLines="1"/>
            <cx:subtotals/>
          </cx:layoutPr>
        </cx:series>
        <cx:series layoutId="waterfall" hidden="1" uniqueId="{B9890B2A-05B2-4272-8F29-6FB180E7E57A}" formatIdx="9">
          <cx:tx>
            <cx:txData>
              <cx:f>_xlchart.v1.9</cx:f>
              <cx:v>Mar-23</cx:v>
            </cx:txData>
          </cx:tx>
          <cx:dataId val="9"/>
          <cx:layoutPr>
            <cx:visibility connectorLines="1"/>
            <cx:subtotals/>
          </cx:layoutPr>
        </cx:series>
        <cx:series layoutId="waterfall" hidden="1" uniqueId="{BD5D1D2D-03D1-4181-92B7-003C6EF3A90B}" formatIdx="10">
          <cx:tx>
            <cx:txData>
              <cx:f>_xlchart.v1.10</cx:f>
              <cx:v>Mar-24</cx:v>
            </cx:txData>
          </cx:tx>
          <cx:dataId val="10"/>
          <cx:layoutPr>
            <cx:visibility connectorLines="1"/>
            <cx:subtotals/>
          </cx:layoutPr>
        </cx:series>
      </cx:plotAreaRegion>
      <cx:axis id="0">
        <cx:catScaling gapWidth="0.5"/>
        <cx:majorTickMarks type="out"/>
        <cx:tickLabels/>
      </cx:axis>
      <cx:axis id="1">
        <cx:valScaling/>
        <cx:majorTickMarks type="out"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218597</xdr:colOff>
      <xdr:row>0</xdr:row>
      <xdr:rowOff>30737</xdr:rowOff>
    </xdr:from>
    <xdr:to>
      <xdr:col>28</xdr:col>
      <xdr:colOff>97956</xdr:colOff>
      <xdr:row>17</xdr:row>
      <xdr:rowOff>129348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E34F60-EA63-47C5-8726-72227B0B50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32657</xdr:colOff>
      <xdr:row>34</xdr:row>
      <xdr:rowOff>119743</xdr:rowOff>
    </xdr:from>
    <xdr:to>
      <xdr:col>13</xdr:col>
      <xdr:colOff>587827</xdr:colOff>
      <xdr:row>52</xdr:row>
      <xdr:rowOff>42262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6A16B7C-A666-4248-811A-1EF65B5288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228588</xdr:colOff>
      <xdr:row>18</xdr:row>
      <xdr:rowOff>32661</xdr:rowOff>
    </xdr:from>
    <xdr:to>
      <xdr:col>28</xdr:col>
      <xdr:colOff>54429</xdr:colOff>
      <xdr:row>34</xdr:row>
      <xdr:rowOff>141515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21F01581-4327-4C9D-8FED-57FA67E02A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62988" y="3324501"/>
              <a:ext cx="8360241" cy="30349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22415</xdr:colOff>
      <xdr:row>18</xdr:row>
      <xdr:rowOff>19209</xdr:rowOff>
    </xdr:from>
    <xdr:to>
      <xdr:col>13</xdr:col>
      <xdr:colOff>555172</xdr:colOff>
      <xdr:row>34</xdr:row>
      <xdr:rowOff>99891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338B18E-C6BD-4243-B66A-2D2DB0AEB7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43543</xdr:colOff>
      <xdr:row>0</xdr:row>
      <xdr:rowOff>59872</xdr:rowOff>
    </xdr:from>
    <xdr:to>
      <xdr:col>13</xdr:col>
      <xdr:colOff>489857</xdr:colOff>
      <xdr:row>17</xdr:row>
      <xdr:rowOff>141515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E07D090A-6811-60BC-E23B-8C3B4D337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250371</xdr:colOff>
      <xdr:row>35</xdr:row>
      <xdr:rowOff>48985</xdr:rowOff>
    </xdr:from>
    <xdr:to>
      <xdr:col>28</xdr:col>
      <xdr:colOff>32657</xdr:colOff>
      <xdr:row>52</xdr:row>
      <xdr:rowOff>21772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F9F12896-EB7D-B0D8-1963-86BAADDC9A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180102</xdr:colOff>
      <xdr:row>9</xdr:row>
      <xdr:rowOff>166260</xdr:rowOff>
    </xdr:from>
    <xdr:to>
      <xdr:col>42</xdr:col>
      <xdr:colOff>152393</xdr:colOff>
      <xdr:row>40</xdr:row>
      <xdr:rowOff>4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811E8ACE-6722-8463-4E4C-14B8CCBFE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F1233-6725-4E19-A17B-99992ADF7C3E}" name="Table1" displayName="Table1" ref="A1:L13" totalsRowShown="0" headerRowDxfId="13" dataDxfId="12">
  <tableColumns count="12">
    <tableColumn id="1" xr3:uid="{8574B92D-0760-4007-A9A1-23D5BB9AE82A}" name="Narration" dataDxfId="11"/>
    <tableColumn id="2" xr3:uid="{135F945B-5A61-43E8-AF9E-8B96E1C4AC8E}" name="Mar-14" dataDxfId="10"/>
    <tableColumn id="3" xr3:uid="{87177028-1112-4608-92D6-4F9E250090A5}" name="Mar-15" dataDxfId="9"/>
    <tableColumn id="4" xr3:uid="{D2B9C649-23FD-447D-9079-5DB97854C26D}" name="Mar-16" dataDxfId="8"/>
    <tableColumn id="5" xr3:uid="{CA4201EA-18B2-4A8F-A5DD-F0B5CF48C7BF}" name="Mar-17" dataDxfId="7"/>
    <tableColumn id="6" xr3:uid="{FF1FD1E7-DF1B-488D-8C83-1DD00950FB93}" name="Mar-18" dataDxfId="6"/>
    <tableColumn id="7" xr3:uid="{1CF1ED48-DF2C-4152-8731-BDFFD3B81B8F}" name="Mar-19" dataDxfId="5"/>
    <tableColumn id="8" xr3:uid="{E1C5C831-E59D-4922-B231-68F0017FA9E7}" name="Mar-20" dataDxfId="4"/>
    <tableColumn id="9" xr3:uid="{4E284DBD-12E1-4CC7-8E8B-73C81B23DE4D}" name="Mar-21" dataDxfId="3"/>
    <tableColumn id="10" xr3:uid="{DEA6B4AE-344D-4BFC-B4A6-EB37E9B94DD9}" name="Mar-22" dataDxfId="2"/>
    <tableColumn id="11" xr3:uid="{6205121A-945E-45F9-ADB0-5288DE2EA48E}" name="Mar-23" dataDxfId="1"/>
    <tableColumn id="12" xr3:uid="{E77078CA-C9D9-4B97-9074-01239F225FA8}" name="Mar-2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7558519241921"/>
  </sheetPr>
  <dimension ref="A1:I8"/>
  <sheetViews>
    <sheetView showGridLines="0" tabSelected="1" zoomScaleNormal="100" workbookViewId="0">
      <selection activeCell="B15" sqref="B15"/>
    </sheetView>
  </sheetViews>
  <sheetFormatPr defaultRowHeight="14.4" x14ac:dyDescent="0.3"/>
  <cols>
    <col min="1" max="1" width="23.6640625" customWidth="1"/>
    <col min="2" max="2" width="29.33203125" bestFit="1" customWidth="1"/>
    <col min="9" max="9" width="17" bestFit="1" customWidth="1"/>
  </cols>
  <sheetData>
    <row r="1" spans="1:9" x14ac:dyDescent="0.3">
      <c r="A1" s="13" t="s">
        <v>8</v>
      </c>
      <c r="B1" s="14" t="s">
        <v>11</v>
      </c>
      <c r="H1" s="17"/>
      <c r="I1" s="18"/>
    </row>
    <row r="2" spans="1:9" x14ac:dyDescent="0.3">
      <c r="A2" s="13" t="s">
        <v>9</v>
      </c>
      <c r="B2" s="14" t="s">
        <v>12</v>
      </c>
      <c r="H2" s="17"/>
      <c r="I2" s="18"/>
    </row>
    <row r="3" spans="1:9" x14ac:dyDescent="0.3">
      <c r="A3" s="13" t="s">
        <v>10</v>
      </c>
      <c r="B3" s="14" t="s">
        <v>48</v>
      </c>
      <c r="H3" s="17"/>
      <c r="I3" s="18"/>
    </row>
    <row r="4" spans="1:9" x14ac:dyDescent="0.3">
      <c r="H4" s="17"/>
      <c r="I4" s="18"/>
    </row>
    <row r="5" spans="1:9" x14ac:dyDescent="0.3">
      <c r="A5" s="15" t="s">
        <v>49</v>
      </c>
      <c r="B5" s="16" t="s">
        <v>53</v>
      </c>
    </row>
    <row r="6" spans="1:9" x14ac:dyDescent="0.3">
      <c r="A6" s="15" t="s">
        <v>50</v>
      </c>
      <c r="B6" s="16" t="s">
        <v>54</v>
      </c>
    </row>
    <row r="7" spans="1:9" x14ac:dyDescent="0.3">
      <c r="A7" s="15" t="s">
        <v>51</v>
      </c>
      <c r="B7" s="16">
        <v>2384130019</v>
      </c>
    </row>
    <row r="8" spans="1:9" x14ac:dyDescent="0.3">
      <c r="A8" s="15" t="s">
        <v>52</v>
      </c>
      <c r="B8" s="16" t="s">
        <v>55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-0.499984740745262"/>
  </sheetPr>
  <dimension ref="A1:O33"/>
  <sheetViews>
    <sheetView showGridLines="0" zoomScale="118" zoomScaleNormal="145" workbookViewId="0">
      <selection activeCell="L5" activeCellId="1" sqref="L2 L5"/>
    </sheetView>
  </sheetViews>
  <sheetFormatPr defaultRowHeight="14.4" x14ac:dyDescent="0.3"/>
  <cols>
    <col min="1" max="1" width="14.5546875" bestFit="1" customWidth="1"/>
    <col min="2" max="2" width="7" bestFit="1" customWidth="1"/>
    <col min="3" max="3" width="7.21875" bestFit="1" customWidth="1"/>
    <col min="4" max="12" width="8.33203125" bestFit="1" customWidth="1"/>
    <col min="13" max="15" width="10.33203125" bestFit="1" customWidth="1"/>
  </cols>
  <sheetData>
    <row r="1" spans="1:15" x14ac:dyDescent="0.3">
      <c r="A1" s="19" t="s">
        <v>13</v>
      </c>
      <c r="B1" s="20" t="s">
        <v>37</v>
      </c>
      <c r="C1" s="20" t="s">
        <v>38</v>
      </c>
      <c r="D1" s="20" t="s">
        <v>39</v>
      </c>
      <c r="E1" s="20" t="s">
        <v>40</v>
      </c>
      <c r="F1" s="20" t="s">
        <v>41</v>
      </c>
      <c r="G1" s="20" t="s">
        <v>42</v>
      </c>
      <c r="H1" s="20" t="s">
        <v>43</v>
      </c>
      <c r="I1" s="20" t="s">
        <v>44</v>
      </c>
      <c r="J1" s="20" t="s">
        <v>45</v>
      </c>
      <c r="K1" s="20" t="s">
        <v>46</v>
      </c>
      <c r="L1" s="20" t="s">
        <v>47</v>
      </c>
      <c r="M1" s="1"/>
      <c r="N1" s="2"/>
    </row>
    <row r="2" spans="1:15" x14ac:dyDescent="0.3">
      <c r="A2" s="21" t="s">
        <v>25</v>
      </c>
      <c r="B2" s="22">
        <v>17166</v>
      </c>
      <c r="C2" s="23">
        <v>27215.02</v>
      </c>
      <c r="D2" s="23">
        <v>18140.55</v>
      </c>
      <c r="E2" s="23">
        <v>30646.61</v>
      </c>
      <c r="F2" s="23">
        <v>32259.93</v>
      </c>
      <c r="G2" s="23">
        <v>38854.68</v>
      </c>
      <c r="H2" s="23">
        <v>29380.400000000001</v>
      </c>
      <c r="I2" s="23">
        <v>71528.03</v>
      </c>
      <c r="J2" s="23">
        <v>67125.820000000007</v>
      </c>
      <c r="K2" s="23">
        <v>70207.08</v>
      </c>
      <c r="L2" s="23">
        <v>101481.8</v>
      </c>
      <c r="M2" s="4"/>
      <c r="N2" s="4"/>
      <c r="O2" s="4"/>
    </row>
    <row r="3" spans="1:15" x14ac:dyDescent="0.3">
      <c r="A3" s="21" t="s">
        <v>26</v>
      </c>
      <c r="B3" s="22">
        <v>16561</v>
      </c>
      <c r="C3" s="23">
        <v>26341.390000000003</v>
      </c>
      <c r="D3" s="23">
        <v>17187.289999999997</v>
      </c>
      <c r="E3" s="23">
        <v>29674.379999999997</v>
      </c>
      <c r="F3" s="23">
        <v>31185.890000000003</v>
      </c>
      <c r="G3" s="23">
        <v>37640.130000000005</v>
      </c>
      <c r="H3" s="23">
        <v>28239.430000000004</v>
      </c>
      <c r="I3" s="23">
        <v>70293.51999999999</v>
      </c>
      <c r="J3" s="23">
        <v>66348.070000000007</v>
      </c>
      <c r="K3" s="23">
        <v>70127.149999999994</v>
      </c>
      <c r="L3" s="23">
        <v>100950.58</v>
      </c>
      <c r="M3" s="4"/>
      <c r="N3" s="4"/>
      <c r="O3" s="4"/>
    </row>
    <row r="4" spans="1:15" x14ac:dyDescent="0.3">
      <c r="A4" s="21" t="s">
        <v>0</v>
      </c>
      <c r="B4" s="24">
        <v>605</v>
      </c>
      <c r="C4" s="25">
        <v>873.62999999999738</v>
      </c>
      <c r="D4" s="25">
        <v>953.26000000000204</v>
      </c>
      <c r="E4" s="25">
        <v>972.2300000000032</v>
      </c>
      <c r="F4" s="25">
        <v>1074.0399999999972</v>
      </c>
      <c r="G4" s="25">
        <v>1214.5499999999956</v>
      </c>
      <c r="H4" s="23">
        <v>1140.9699999999975</v>
      </c>
      <c r="I4" s="23">
        <v>1234.5100000000093</v>
      </c>
      <c r="J4" s="23">
        <v>777.75</v>
      </c>
      <c r="K4" s="23">
        <v>79.930000000007567</v>
      </c>
      <c r="L4" s="25">
        <v>531.22000000000116</v>
      </c>
      <c r="M4" s="5"/>
      <c r="N4" s="5"/>
      <c r="O4" s="5"/>
    </row>
    <row r="5" spans="1:15" x14ac:dyDescent="0.3">
      <c r="A5" s="21" t="s">
        <v>27</v>
      </c>
      <c r="B5" s="24">
        <v>241</v>
      </c>
      <c r="C5" s="25">
        <v>78.91</v>
      </c>
      <c r="D5" s="25">
        <v>107.68</v>
      </c>
      <c r="E5" s="25">
        <v>138.97999999999999</v>
      </c>
      <c r="F5" s="25">
        <v>281.66000000000003</v>
      </c>
      <c r="G5" s="25">
        <v>135.65</v>
      </c>
      <c r="H5" s="25">
        <v>368.56</v>
      </c>
      <c r="I5" s="25">
        <v>445.05</v>
      </c>
      <c r="J5" s="25">
        <v>765.78</v>
      </c>
      <c r="K5" s="25">
        <v>1437.32</v>
      </c>
      <c r="L5" s="25">
        <v>524.80999999999995</v>
      </c>
      <c r="M5" s="6"/>
      <c r="N5" s="6"/>
      <c r="O5" s="6"/>
    </row>
    <row r="6" spans="1:15" x14ac:dyDescent="0.3">
      <c r="A6" s="21" t="s">
        <v>2</v>
      </c>
      <c r="B6" s="24">
        <v>41</v>
      </c>
      <c r="C6" s="25">
        <v>42.72</v>
      </c>
      <c r="D6" s="25">
        <v>44.91</v>
      </c>
      <c r="E6" s="25">
        <v>41.24</v>
      </c>
      <c r="F6" s="25">
        <v>44.45</v>
      </c>
      <c r="G6" s="25">
        <v>45.24</v>
      </c>
      <c r="H6" s="25">
        <v>46.57</v>
      </c>
      <c r="I6" s="25">
        <v>50.89</v>
      </c>
      <c r="J6" s="25">
        <v>56.27</v>
      </c>
      <c r="K6" s="25">
        <v>75.930000000000007</v>
      </c>
      <c r="L6" s="25">
        <v>78.75</v>
      </c>
      <c r="M6" s="4"/>
      <c r="N6" s="5"/>
      <c r="O6" s="5"/>
    </row>
    <row r="7" spans="1:15" x14ac:dyDescent="0.3">
      <c r="A7" s="21" t="s">
        <v>1</v>
      </c>
      <c r="B7" s="24">
        <v>11</v>
      </c>
      <c r="C7" s="25">
        <v>-14.1</v>
      </c>
      <c r="D7" s="25">
        <v>8.1</v>
      </c>
      <c r="E7" s="25">
        <v>9.06</v>
      </c>
      <c r="F7" s="25">
        <v>10.76</v>
      </c>
      <c r="G7" s="25">
        <v>13.94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5"/>
      <c r="N7" s="5"/>
      <c r="O7" s="5"/>
    </row>
    <row r="8" spans="1:15" x14ac:dyDescent="0.3">
      <c r="A8" s="21" t="s">
        <v>3</v>
      </c>
      <c r="B8" s="24">
        <v>794</v>
      </c>
      <c r="C8" s="25">
        <v>923.92</v>
      </c>
      <c r="D8" s="25">
        <v>1007.93</v>
      </c>
      <c r="E8" s="25">
        <v>1060.9100000000001</v>
      </c>
      <c r="F8" s="25">
        <v>1300.49</v>
      </c>
      <c r="G8" s="25">
        <v>1291.02</v>
      </c>
      <c r="H8" s="25">
        <v>1462.96</v>
      </c>
      <c r="I8" s="25">
        <v>1628.67</v>
      </c>
      <c r="J8" s="25">
        <v>1487.26</v>
      </c>
      <c r="K8" s="25">
        <v>1441.32</v>
      </c>
      <c r="L8" s="25">
        <v>977.28</v>
      </c>
      <c r="M8" s="5"/>
      <c r="N8" s="5"/>
      <c r="O8" s="5"/>
    </row>
    <row r="9" spans="1:15" x14ac:dyDescent="0.3">
      <c r="A9" s="21" t="s">
        <v>28</v>
      </c>
      <c r="B9" s="24">
        <v>71.459999999999994</v>
      </c>
      <c r="C9" s="25">
        <v>138.41</v>
      </c>
      <c r="D9" s="25">
        <v>191.14</v>
      </c>
      <c r="E9" s="25">
        <v>173.99</v>
      </c>
      <c r="F9" s="23">
        <v>193.29</v>
      </c>
      <c r="G9" s="23">
        <v>13.09</v>
      </c>
      <c r="H9" s="23">
        <v>165.51</v>
      </c>
      <c r="I9" s="23">
        <v>267.8</v>
      </c>
      <c r="J9" s="23">
        <v>160.32</v>
      </c>
      <c r="K9" s="23">
        <v>73.05</v>
      </c>
      <c r="L9" s="23">
        <v>-596.79999999999995</v>
      </c>
      <c r="M9" s="4"/>
      <c r="N9" s="5"/>
      <c r="O9" s="4"/>
    </row>
    <row r="10" spans="1:15" x14ac:dyDescent="0.3">
      <c r="A10" s="21" t="s">
        <v>29</v>
      </c>
      <c r="B10" s="24">
        <v>725</v>
      </c>
      <c r="C10" s="25">
        <v>785.51</v>
      </c>
      <c r="D10" s="25">
        <v>816.79</v>
      </c>
      <c r="E10" s="25">
        <v>886.92</v>
      </c>
      <c r="F10" s="25">
        <v>1107.2</v>
      </c>
      <c r="G10" s="25">
        <v>1277.93</v>
      </c>
      <c r="H10" s="25">
        <v>1297.44</v>
      </c>
      <c r="I10" s="25">
        <v>1360.87</v>
      </c>
      <c r="J10" s="25">
        <v>1326.93</v>
      </c>
      <c r="K10" s="25">
        <v>1368.28</v>
      </c>
      <c r="L10" s="25">
        <v>1574.08</v>
      </c>
      <c r="M10" s="6"/>
      <c r="N10" s="6"/>
      <c r="O10" s="5"/>
    </row>
    <row r="11" spans="1:15" x14ac:dyDescent="0.3">
      <c r="A11" s="21" t="s">
        <v>30</v>
      </c>
      <c r="B11" s="26">
        <v>3.64</v>
      </c>
      <c r="C11" s="27">
        <v>3.9375908566845452</v>
      </c>
      <c r="D11" s="27">
        <v>4.0935698892397134</v>
      </c>
      <c r="E11" s="27">
        <v>4.4379284463347508</v>
      </c>
      <c r="F11" s="27">
        <v>5.5038027538897456</v>
      </c>
      <c r="G11" s="27">
        <v>6.3345395062952319</v>
      </c>
      <c r="H11" s="23">
        <v>6.4267881910045572</v>
      </c>
      <c r="I11" s="23">
        <v>6.7339799099411151</v>
      </c>
      <c r="J11" s="23">
        <v>6.2810281170122133</v>
      </c>
      <c r="K11" s="23">
        <v>6.365869544989299</v>
      </c>
      <c r="L11" s="23">
        <v>7.318238876749267</v>
      </c>
      <c r="M11" s="4"/>
      <c r="N11" s="4"/>
      <c r="O11" s="4"/>
    </row>
    <row r="12" spans="1:15" x14ac:dyDescent="0.3">
      <c r="A12" s="21" t="s">
        <v>31</v>
      </c>
      <c r="B12" s="28" t="s">
        <v>36</v>
      </c>
      <c r="C12" s="28" t="s">
        <v>36</v>
      </c>
      <c r="D12" s="28" t="s">
        <v>36</v>
      </c>
      <c r="E12" s="28" t="s">
        <v>36</v>
      </c>
      <c r="F12" s="27">
        <v>82.570182893786111</v>
      </c>
      <c r="G12" s="27">
        <v>59.751778266415215</v>
      </c>
      <c r="H12" s="27">
        <v>68.67349395733136</v>
      </c>
      <c r="I12" s="27">
        <v>103.38611182552339</v>
      </c>
      <c r="J12" s="27">
        <v>85.686608939431622</v>
      </c>
      <c r="K12" s="27">
        <v>78.418195106264804</v>
      </c>
      <c r="L12" s="27">
        <v>86.544045728298443</v>
      </c>
      <c r="M12" s="5"/>
      <c r="N12" s="5"/>
      <c r="O12" s="5"/>
    </row>
    <row r="13" spans="1:15" x14ac:dyDescent="0.3">
      <c r="A13" s="21" t="s">
        <v>32</v>
      </c>
      <c r="B13" s="28" t="s">
        <v>36</v>
      </c>
      <c r="C13" s="28" t="s">
        <v>36</v>
      </c>
      <c r="D13" s="28" t="s">
        <v>36</v>
      </c>
      <c r="E13" s="28" t="s">
        <v>36</v>
      </c>
      <c r="F13" s="25">
        <v>454.45</v>
      </c>
      <c r="G13" s="25">
        <v>378.5</v>
      </c>
      <c r="H13" s="25">
        <v>441.35</v>
      </c>
      <c r="I13" s="25">
        <v>696.2</v>
      </c>
      <c r="J13" s="25">
        <v>538.20000000000005</v>
      </c>
      <c r="K13" s="25">
        <v>499.2</v>
      </c>
      <c r="L13" s="25">
        <v>633.35</v>
      </c>
      <c r="M13" s="6"/>
      <c r="N13" s="6"/>
      <c r="O13" s="5"/>
    </row>
    <row r="14" spans="1:15" x14ac:dyDescent="0.3">
      <c r="A14" s="21"/>
      <c r="B14" s="29"/>
      <c r="C14" s="29"/>
      <c r="D14" s="30"/>
      <c r="E14" s="30"/>
      <c r="F14" s="30"/>
      <c r="G14" s="30"/>
      <c r="H14" s="30"/>
      <c r="I14" s="30"/>
      <c r="J14" s="30"/>
      <c r="K14" s="30"/>
      <c r="L14" s="30"/>
    </row>
    <row r="15" spans="1:15" x14ac:dyDescent="0.3">
      <c r="A15" s="21" t="s">
        <v>33</v>
      </c>
      <c r="B15" s="21"/>
      <c r="C15" s="31"/>
      <c r="D15" s="30"/>
      <c r="E15" s="30"/>
      <c r="F15" s="30"/>
      <c r="G15" s="30"/>
      <c r="H15" s="30"/>
      <c r="I15" s="30"/>
      <c r="J15" s="30"/>
      <c r="K15" s="30"/>
      <c r="L15" s="30"/>
    </row>
    <row r="16" spans="1:15" x14ac:dyDescent="0.3">
      <c r="A16" s="21" t="s">
        <v>34</v>
      </c>
      <c r="B16" s="21"/>
      <c r="C16" s="32">
        <v>0.1777698565263332</v>
      </c>
      <c r="D16" s="33">
        <v>0.21986067410227847</v>
      </c>
      <c r="E16" s="33">
        <v>0.24785775492716369</v>
      </c>
      <c r="F16" s="33">
        <v>0.24710982658959538</v>
      </c>
      <c r="G16" s="33">
        <v>0.25731456339549114</v>
      </c>
      <c r="H16" s="33">
        <v>0</v>
      </c>
      <c r="I16" s="33">
        <v>0.29997722045456221</v>
      </c>
      <c r="J16" s="33">
        <v>0.2706623559645196</v>
      </c>
      <c r="K16" s="33">
        <v>0.29846961148302981</v>
      </c>
      <c r="L16" s="33">
        <v>0.27329614759097376</v>
      </c>
    </row>
    <row r="17" spans="1:12" x14ac:dyDescent="0.3">
      <c r="A17" s="21" t="s">
        <v>35</v>
      </c>
      <c r="B17" s="21"/>
      <c r="C17" s="32">
        <v>3.2101023625924117E-2</v>
      </c>
      <c r="D17" s="33">
        <v>5.2548572121573052E-2</v>
      </c>
      <c r="E17" s="33">
        <v>3.1723900294355664E-2</v>
      </c>
      <c r="F17" s="33">
        <v>3.3293314647613842E-2</v>
      </c>
      <c r="G17" s="33">
        <v>3.125878272578736E-2</v>
      </c>
      <c r="H17" s="33">
        <v>3.8834392996691586E-2</v>
      </c>
      <c r="I17" s="33">
        <v>1.7259108072737488E-2</v>
      </c>
      <c r="J17" s="33">
        <v>1.1586450638517338E-2</v>
      </c>
      <c r="K17" s="33">
        <v>1.1384891666197706E-3</v>
      </c>
      <c r="L17" s="33">
        <v>5.2346332051658642E-3</v>
      </c>
    </row>
    <row r="18" spans="1:12" x14ac:dyDescent="0.3">
      <c r="A18" s="3"/>
      <c r="B18" s="3"/>
      <c r="C18" s="12"/>
    </row>
    <row r="19" spans="1:12" x14ac:dyDescent="0.3">
      <c r="A19" s="66"/>
      <c r="B19" s="66"/>
      <c r="C19" s="66"/>
    </row>
    <row r="20" spans="1:12" x14ac:dyDescent="0.3">
      <c r="A20" s="7"/>
      <c r="B20" s="7"/>
      <c r="C20" s="6"/>
    </row>
    <row r="21" spans="1:12" x14ac:dyDescent="0.3">
      <c r="A21" s="7"/>
      <c r="B21" s="7"/>
      <c r="C21" s="6"/>
    </row>
    <row r="22" spans="1:12" x14ac:dyDescent="0.3">
      <c r="A22" s="7"/>
      <c r="B22" s="7"/>
      <c r="C22" s="6"/>
    </row>
    <row r="23" spans="1:12" x14ac:dyDescent="0.3">
      <c r="A23" s="7"/>
      <c r="B23" s="7"/>
      <c r="C23" s="6"/>
    </row>
    <row r="24" spans="1:12" x14ac:dyDescent="0.3">
      <c r="A24" s="66"/>
      <c r="B24" s="66"/>
      <c r="C24" s="66"/>
    </row>
    <row r="25" spans="1:12" x14ac:dyDescent="0.3">
      <c r="A25" s="7"/>
      <c r="B25" s="7"/>
      <c r="C25" s="5"/>
    </row>
    <row r="26" spans="1:12" x14ac:dyDescent="0.3">
      <c r="A26" s="7"/>
      <c r="B26" s="7"/>
      <c r="C26" s="6"/>
    </row>
    <row r="27" spans="1:12" x14ac:dyDescent="0.3">
      <c r="A27" s="7"/>
      <c r="B27" s="7"/>
      <c r="C27" s="6"/>
    </row>
    <row r="28" spans="1:12" x14ac:dyDescent="0.3">
      <c r="A28" s="7"/>
      <c r="B28" s="7"/>
      <c r="C28" s="6"/>
    </row>
    <row r="29" spans="1:12" x14ac:dyDescent="0.3">
      <c r="A29" s="66"/>
      <c r="B29" s="66"/>
      <c r="C29" s="66"/>
    </row>
    <row r="30" spans="1:12" x14ac:dyDescent="0.3">
      <c r="A30" s="7"/>
      <c r="B30" s="7"/>
      <c r="C30" s="6"/>
    </row>
    <row r="31" spans="1:12" x14ac:dyDescent="0.3">
      <c r="A31" s="7"/>
      <c r="B31" s="7"/>
      <c r="C31" s="6"/>
    </row>
    <row r="32" spans="1:12" x14ac:dyDescent="0.3">
      <c r="A32" s="7"/>
      <c r="B32" s="7"/>
      <c r="C32" s="6"/>
    </row>
    <row r="33" spans="1:3" x14ac:dyDescent="0.3">
      <c r="A33" s="7"/>
      <c r="B33" s="7"/>
      <c r="C33" s="6"/>
    </row>
  </sheetData>
  <mergeCells count="3">
    <mergeCell ref="A19:C19"/>
    <mergeCell ref="A24:C24"/>
    <mergeCell ref="A29:C2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8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499984740745262"/>
  </sheetPr>
  <dimension ref="A1:O19"/>
  <sheetViews>
    <sheetView showGridLines="0" zoomScale="115" zoomScaleNormal="115" workbookViewId="0">
      <selection activeCell="K2" sqref="K2:K3"/>
    </sheetView>
  </sheetViews>
  <sheetFormatPr defaultRowHeight="14.4" x14ac:dyDescent="0.3"/>
  <cols>
    <col min="1" max="1" width="21" bestFit="1" customWidth="1"/>
    <col min="2" max="2" width="7" bestFit="1" customWidth="1"/>
    <col min="3" max="5" width="9.6640625" bestFit="1" customWidth="1"/>
    <col min="6" max="7" width="10.6640625" bestFit="1" customWidth="1"/>
    <col min="8" max="9" width="10" bestFit="1" customWidth="1"/>
    <col min="10" max="12" width="10.6640625" bestFit="1" customWidth="1"/>
    <col min="13" max="14" width="11.6640625" bestFit="1" customWidth="1"/>
    <col min="15" max="15" width="9.6640625" bestFit="1" customWidth="1"/>
  </cols>
  <sheetData>
    <row r="1" spans="1:15" x14ac:dyDescent="0.3">
      <c r="A1" s="37" t="s">
        <v>13</v>
      </c>
      <c r="B1" s="38">
        <v>41699</v>
      </c>
      <c r="C1" s="39">
        <v>42094</v>
      </c>
      <c r="D1" s="39">
        <v>42460</v>
      </c>
      <c r="E1" s="39">
        <v>42825</v>
      </c>
      <c r="F1" s="39">
        <v>43190</v>
      </c>
      <c r="G1" s="39">
        <v>43555</v>
      </c>
      <c r="H1" s="39">
        <v>43921</v>
      </c>
      <c r="I1" s="39">
        <v>44286</v>
      </c>
      <c r="J1" s="39">
        <v>44651</v>
      </c>
      <c r="K1" s="39">
        <v>45016</v>
      </c>
      <c r="L1" s="39">
        <v>45382</v>
      </c>
      <c r="M1" s="8"/>
      <c r="N1" s="9"/>
    </row>
    <row r="2" spans="1:15" x14ac:dyDescent="0.3">
      <c r="A2" s="34" t="s">
        <v>14</v>
      </c>
      <c r="B2" s="35">
        <v>1995</v>
      </c>
      <c r="C2" s="22">
        <v>1994.88</v>
      </c>
      <c r="D2" s="22">
        <v>1995.29</v>
      </c>
      <c r="E2" s="22">
        <v>1998.48</v>
      </c>
      <c r="F2" s="22">
        <v>2011.74</v>
      </c>
      <c r="G2" s="22">
        <v>2017.38</v>
      </c>
      <c r="H2" s="22">
        <v>2018.8</v>
      </c>
      <c r="I2" s="22">
        <v>2020.94</v>
      </c>
      <c r="J2" s="22">
        <v>2112.62</v>
      </c>
      <c r="K2" s="22">
        <v>2149.4</v>
      </c>
      <c r="L2" s="22">
        <v>2150.94</v>
      </c>
      <c r="M2" s="10"/>
      <c r="N2" s="10"/>
      <c r="O2" s="10"/>
    </row>
    <row r="3" spans="1:15" x14ac:dyDescent="0.3">
      <c r="A3" s="34" t="s">
        <v>4</v>
      </c>
      <c r="B3" s="35">
        <v>-67</v>
      </c>
      <c r="C3" s="24">
        <v>546.4</v>
      </c>
      <c r="D3" s="24">
        <v>1108.2</v>
      </c>
      <c r="E3" s="24">
        <v>1827.84</v>
      </c>
      <c r="F3" s="22">
        <v>2693.37</v>
      </c>
      <c r="G3" s="22">
        <v>3625.22</v>
      </c>
      <c r="H3" s="22">
        <v>4787.82</v>
      </c>
      <c r="I3" s="22">
        <v>6618.85</v>
      </c>
      <c r="J3" s="22">
        <v>13500.71</v>
      </c>
      <c r="K3" s="22">
        <v>10843.74</v>
      </c>
      <c r="L3" s="22">
        <v>12515.41</v>
      </c>
      <c r="M3" s="10"/>
      <c r="N3" s="10"/>
      <c r="O3" s="10"/>
    </row>
    <row r="4" spans="1:15" x14ac:dyDescent="0.3">
      <c r="A4" s="34" t="s">
        <v>15</v>
      </c>
      <c r="B4" s="35">
        <v>0</v>
      </c>
      <c r="C4" s="24">
        <v>0</v>
      </c>
      <c r="D4" s="24">
        <v>0</v>
      </c>
      <c r="E4" s="24">
        <v>0</v>
      </c>
      <c r="F4" s="24">
        <v>0</v>
      </c>
      <c r="G4" s="24">
        <v>0</v>
      </c>
      <c r="H4" s="24">
        <v>0</v>
      </c>
      <c r="I4" s="24">
        <v>600</v>
      </c>
      <c r="J4" s="24">
        <v>600</v>
      </c>
      <c r="K4" s="24">
        <v>950</v>
      </c>
      <c r="L4" s="24">
        <v>950</v>
      </c>
      <c r="M4" s="11"/>
      <c r="N4" s="11"/>
      <c r="O4" s="11"/>
    </row>
    <row r="5" spans="1:15" x14ac:dyDescent="0.3">
      <c r="A5" s="34" t="s">
        <v>16</v>
      </c>
      <c r="B5" s="35">
        <v>50347</v>
      </c>
      <c r="C5" s="22">
        <v>66767.240000000005</v>
      </c>
      <c r="D5" s="22">
        <v>73440.89</v>
      </c>
      <c r="E5" s="22">
        <v>91270.25</v>
      </c>
      <c r="F5" s="22">
        <v>105777.71</v>
      </c>
      <c r="G5" s="22">
        <v>124377.81</v>
      </c>
      <c r="H5" s="22">
        <v>125417.23</v>
      </c>
      <c r="I5" s="22">
        <v>170415.25</v>
      </c>
      <c r="J5" s="22">
        <v>214521.12</v>
      </c>
      <c r="K5" s="22">
        <v>234126.11</v>
      </c>
      <c r="L5" s="22">
        <v>287070.59999999998</v>
      </c>
      <c r="M5" s="10"/>
      <c r="N5" s="10"/>
      <c r="O5" s="10"/>
    </row>
    <row r="6" spans="1:15" x14ac:dyDescent="0.3">
      <c r="A6" s="34" t="s">
        <v>5</v>
      </c>
      <c r="B6" s="35">
        <v>52275</v>
      </c>
      <c r="C6" s="22">
        <v>69308.52</v>
      </c>
      <c r="D6" s="22">
        <v>76544.38</v>
      </c>
      <c r="E6" s="22">
        <v>95096.57</v>
      </c>
      <c r="F6" s="22">
        <v>110482.82</v>
      </c>
      <c r="G6" s="22">
        <v>130020.41</v>
      </c>
      <c r="H6" s="22">
        <v>132223.85</v>
      </c>
      <c r="I6" s="22">
        <v>179655.04000000001</v>
      </c>
      <c r="J6" s="22">
        <v>230734.45</v>
      </c>
      <c r="K6" s="22">
        <v>248069.25</v>
      </c>
      <c r="L6" s="22">
        <v>302686.95</v>
      </c>
      <c r="M6" s="10"/>
      <c r="N6" s="10"/>
      <c r="O6" s="10"/>
    </row>
    <row r="7" spans="1:15" x14ac:dyDescent="0.3">
      <c r="A7" s="34"/>
      <c r="B7" s="35"/>
      <c r="C7" s="24"/>
      <c r="D7" s="24"/>
      <c r="E7" s="24"/>
      <c r="F7" s="24"/>
      <c r="G7" s="24"/>
      <c r="H7" s="24"/>
      <c r="I7" s="24"/>
      <c r="J7" s="24"/>
      <c r="K7" s="24"/>
      <c r="L7" s="22"/>
      <c r="M7" s="11"/>
      <c r="N7" s="10"/>
      <c r="O7" s="11"/>
    </row>
    <row r="8" spans="1:15" x14ac:dyDescent="0.3">
      <c r="A8" s="34" t="s">
        <v>17</v>
      </c>
      <c r="B8" s="35">
        <v>279</v>
      </c>
      <c r="C8" s="24">
        <v>346.03</v>
      </c>
      <c r="D8" s="24">
        <v>335.2</v>
      </c>
      <c r="E8" s="24">
        <v>337.37</v>
      </c>
      <c r="F8" s="24">
        <v>336.42</v>
      </c>
      <c r="G8" s="24">
        <v>370.16</v>
      </c>
      <c r="H8" s="24">
        <v>322.3</v>
      </c>
      <c r="I8" s="24">
        <v>584.67999999999995</v>
      </c>
      <c r="J8" s="24">
        <v>6605.24</v>
      </c>
      <c r="K8" s="24">
        <v>997.2</v>
      </c>
      <c r="L8" s="24">
        <v>1548.99</v>
      </c>
      <c r="M8" s="11"/>
      <c r="N8" s="11"/>
      <c r="O8" s="11"/>
    </row>
    <row r="9" spans="1:15" x14ac:dyDescent="0.3">
      <c r="A9" s="34" t="s">
        <v>18</v>
      </c>
      <c r="B9" s="35">
        <v>10</v>
      </c>
      <c r="C9" s="22">
        <v>6.44</v>
      </c>
      <c r="D9" s="22">
        <v>12.16</v>
      </c>
      <c r="E9" s="22">
        <v>16.09</v>
      </c>
      <c r="F9" s="22">
        <v>5.28</v>
      </c>
      <c r="G9" s="22">
        <v>10.19</v>
      </c>
      <c r="H9" s="22">
        <v>8.41</v>
      </c>
      <c r="I9" s="22">
        <v>14.24</v>
      </c>
      <c r="J9" s="22">
        <v>19.8</v>
      </c>
      <c r="K9" s="22">
        <v>30.79</v>
      </c>
      <c r="L9" s="22">
        <v>27.67</v>
      </c>
      <c r="M9" s="10"/>
      <c r="N9" s="10"/>
      <c r="O9" s="10"/>
    </row>
    <row r="10" spans="1:15" x14ac:dyDescent="0.3">
      <c r="A10" s="34" t="s">
        <v>6</v>
      </c>
      <c r="B10" s="35">
        <v>50527</v>
      </c>
      <c r="C10" s="22">
        <v>67023.56</v>
      </c>
      <c r="D10" s="22">
        <v>74143.679999999993</v>
      </c>
      <c r="E10" s="22">
        <v>91723.43</v>
      </c>
      <c r="F10" s="22">
        <v>106589.88</v>
      </c>
      <c r="G10" s="22">
        <v>124957.97</v>
      </c>
      <c r="H10" s="22">
        <v>127255.71</v>
      </c>
      <c r="I10" s="22">
        <v>173563.57</v>
      </c>
      <c r="J10" s="22">
        <v>216550.64</v>
      </c>
      <c r="K10" s="22">
        <v>238197.1</v>
      </c>
      <c r="L10" s="22">
        <v>291127.93</v>
      </c>
      <c r="M10" s="10"/>
      <c r="N10" s="10"/>
      <c r="O10" s="10"/>
    </row>
    <row r="11" spans="1:15" x14ac:dyDescent="0.3">
      <c r="A11" s="34" t="s">
        <v>19</v>
      </c>
      <c r="B11" s="35">
        <v>1458</v>
      </c>
      <c r="C11" s="22">
        <v>1932.49</v>
      </c>
      <c r="D11" s="22">
        <v>2053.34</v>
      </c>
      <c r="E11" s="22">
        <v>3019.68</v>
      </c>
      <c r="F11" s="22">
        <v>3551.24</v>
      </c>
      <c r="G11" s="22">
        <v>4682.09</v>
      </c>
      <c r="H11" s="22">
        <v>4637.43</v>
      </c>
      <c r="I11" s="22">
        <v>5492.55</v>
      </c>
      <c r="J11" s="22">
        <v>7558.77</v>
      </c>
      <c r="K11" s="22">
        <v>8844.16</v>
      </c>
      <c r="L11" s="22">
        <v>9982.36</v>
      </c>
      <c r="M11" s="10"/>
      <c r="N11" s="10"/>
      <c r="O11" s="10"/>
    </row>
    <row r="12" spans="1:15" x14ac:dyDescent="0.3">
      <c r="A12" s="30" t="s">
        <v>7</v>
      </c>
      <c r="B12" s="35">
        <v>52275</v>
      </c>
      <c r="C12" s="30">
        <v>69308.52</v>
      </c>
      <c r="D12" s="30">
        <v>76544.38</v>
      </c>
      <c r="E12" s="30">
        <v>95096.57</v>
      </c>
      <c r="F12" s="30">
        <v>110482.82</v>
      </c>
      <c r="G12" s="30">
        <v>130020.41</v>
      </c>
      <c r="H12" s="30">
        <v>132223.85</v>
      </c>
      <c r="I12" s="30">
        <v>179655.04000000001</v>
      </c>
      <c r="J12" s="30">
        <v>230734.45</v>
      </c>
      <c r="K12" s="30">
        <v>248069.25</v>
      </c>
      <c r="L12" s="30">
        <v>302686.95</v>
      </c>
    </row>
    <row r="13" spans="1:15" x14ac:dyDescent="0.3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</row>
    <row r="14" spans="1:15" x14ac:dyDescent="0.3">
      <c r="A14" s="30" t="s">
        <v>20</v>
      </c>
      <c r="B14" s="30"/>
      <c r="C14" s="30">
        <v>-64834.750000000007</v>
      </c>
      <c r="D14" s="30">
        <v>-71387.55</v>
      </c>
      <c r="E14" s="30">
        <v>-88250.57</v>
      </c>
      <c r="F14" s="30">
        <v>-102226.47</v>
      </c>
      <c r="G14" s="30">
        <v>-119695.72</v>
      </c>
      <c r="H14" s="30">
        <v>-120779.79999999999</v>
      </c>
      <c r="I14" s="30">
        <v>-164922.70000000001</v>
      </c>
      <c r="J14" s="30">
        <v>-206962.35</v>
      </c>
      <c r="K14" s="30">
        <v>-225281.94999999998</v>
      </c>
      <c r="L14" s="30">
        <v>-277088.24</v>
      </c>
    </row>
    <row r="15" spans="1:15" x14ac:dyDescent="0.3">
      <c r="A15" s="30" t="s">
        <v>21</v>
      </c>
      <c r="B15" s="35">
        <v>0</v>
      </c>
      <c r="C15" s="30">
        <v>0</v>
      </c>
      <c r="D15" s="30">
        <v>0</v>
      </c>
      <c r="E15" s="30">
        <v>0</v>
      </c>
      <c r="F15" s="30">
        <v>0</v>
      </c>
      <c r="G15" s="30">
        <v>205.5</v>
      </c>
      <c r="H15" s="30">
        <v>0</v>
      </c>
      <c r="I15" s="30">
        <v>0</v>
      </c>
      <c r="J15" s="30">
        <v>0</v>
      </c>
      <c r="K15" s="30">
        <v>0</v>
      </c>
      <c r="L15" s="30">
        <v>0</v>
      </c>
    </row>
    <row r="16" spans="1:15" x14ac:dyDescent="0.3">
      <c r="A16" s="30" t="s">
        <v>22</v>
      </c>
      <c r="B16" s="35">
        <v>0</v>
      </c>
      <c r="C16" s="30">
        <v>0</v>
      </c>
      <c r="D16" s="30">
        <v>0</v>
      </c>
      <c r="E16" s="30">
        <v>0</v>
      </c>
      <c r="F16" s="30">
        <v>0</v>
      </c>
      <c r="G16" s="30">
        <v>0</v>
      </c>
      <c r="H16" s="30">
        <v>0</v>
      </c>
      <c r="I16" s="30">
        <v>0</v>
      </c>
      <c r="J16" s="30">
        <v>0</v>
      </c>
      <c r="K16" s="30">
        <v>0</v>
      </c>
      <c r="L16" s="30">
        <v>0</v>
      </c>
    </row>
    <row r="17" spans="1:12" x14ac:dyDescent="0.3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</row>
    <row r="18" spans="1:12" x14ac:dyDescent="0.3">
      <c r="A18" s="30" t="s">
        <v>23</v>
      </c>
      <c r="B18" s="30">
        <v>0</v>
      </c>
      <c r="C18" s="30">
        <v>0</v>
      </c>
      <c r="D18" s="30">
        <v>0</v>
      </c>
      <c r="E18" s="30">
        <v>0</v>
      </c>
      <c r="F18" s="30">
        <v>0</v>
      </c>
      <c r="G18" s="36">
        <v>1.9304624307805391</v>
      </c>
      <c r="H18" s="30">
        <v>0</v>
      </c>
      <c r="I18" s="30">
        <v>0</v>
      </c>
      <c r="J18" s="30">
        <v>0</v>
      </c>
      <c r="K18" s="30">
        <v>0</v>
      </c>
      <c r="L18" s="30">
        <v>0</v>
      </c>
    </row>
    <row r="19" spans="1:12" x14ac:dyDescent="0.3">
      <c r="A19" s="30" t="s">
        <v>24</v>
      </c>
      <c r="B19" s="30">
        <v>0</v>
      </c>
      <c r="C19" s="30">
        <v>0</v>
      </c>
      <c r="D19" s="30">
        <v>0</v>
      </c>
      <c r="E19" s="30">
        <v>0</v>
      </c>
      <c r="F19" s="30">
        <v>0</v>
      </c>
      <c r="G19" s="30">
        <v>0</v>
      </c>
      <c r="H19" s="30">
        <v>0</v>
      </c>
      <c r="I19" s="30">
        <v>0</v>
      </c>
      <c r="J19" s="30">
        <v>0</v>
      </c>
      <c r="K19" s="30">
        <v>0</v>
      </c>
      <c r="L19" s="30">
        <v>0</v>
      </c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</sheetPr>
  <dimension ref="A1:K28"/>
  <sheetViews>
    <sheetView showGridLines="0" zoomScaleNormal="100" workbookViewId="0">
      <selection activeCell="J3" sqref="J3"/>
    </sheetView>
  </sheetViews>
  <sheetFormatPr defaultRowHeight="14.4" x14ac:dyDescent="0.3"/>
  <cols>
    <col min="1" max="1" width="24.109375" bestFit="1" customWidth="1"/>
    <col min="2" max="3" width="9.44140625" bestFit="1" customWidth="1"/>
    <col min="4" max="6" width="8.77734375" bestFit="1" customWidth="1"/>
    <col min="7" max="7" width="9.44140625" bestFit="1" customWidth="1"/>
    <col min="8" max="8" width="9.88671875" bestFit="1" customWidth="1"/>
    <col min="9" max="10" width="8.77734375" bestFit="1" customWidth="1"/>
    <col min="11" max="11" width="8.88671875" bestFit="1" customWidth="1"/>
  </cols>
  <sheetData>
    <row r="1" spans="1:11" ht="18" x14ac:dyDescent="0.3">
      <c r="A1" s="68" t="str">
        <f>CONCATENATE("Comparative Income Statement of ",'Basic Info'!B1," [", 'Basic Info'!B2,"]"," (",'Basic Info'!B3,")")</f>
        <v>Comparative Income Statement of HDFC Life Insurance Company Ltd. [HDFCLIFE] (2014-15 to 2023-24)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5.6" x14ac:dyDescent="0.3">
      <c r="A2" s="40" t="str">
        <f>'Income Statement'!A1</f>
        <v>Narration</v>
      </c>
      <c r="B2" s="40" t="str">
        <f>'Income Statement'!C1</f>
        <v>Mar-15</v>
      </c>
      <c r="C2" s="40" t="str">
        <f>'Income Statement'!D1</f>
        <v>Mar-16</v>
      </c>
      <c r="D2" s="40" t="str">
        <f>'Income Statement'!E1</f>
        <v>Mar-17</v>
      </c>
      <c r="E2" s="40" t="str">
        <f>'Income Statement'!F1</f>
        <v>Mar-18</v>
      </c>
      <c r="F2" s="40" t="str">
        <f>'Income Statement'!G1</f>
        <v>Mar-19</v>
      </c>
      <c r="G2" s="40" t="str">
        <f>'Income Statement'!H1</f>
        <v>Mar-20</v>
      </c>
      <c r="H2" s="40" t="str">
        <f>'Income Statement'!I1</f>
        <v>Mar-21</v>
      </c>
      <c r="I2" s="40" t="str">
        <f>'Income Statement'!J1</f>
        <v>Mar-22</v>
      </c>
      <c r="J2" s="40" t="str">
        <f>'Income Statement'!K1</f>
        <v>Mar-23</v>
      </c>
      <c r="K2" s="40" t="str">
        <f>'Income Statement'!L1</f>
        <v>Mar-24</v>
      </c>
    </row>
    <row r="3" spans="1:11" ht="15.6" x14ac:dyDescent="0.3">
      <c r="A3" s="41" t="str">
        <f>'Income Statement'!A2</f>
        <v>Sales</v>
      </c>
      <c r="B3" s="42">
        <f>('Income Statement'!C2-'Income Statement'!B2)/'Income Statement'!B2</f>
        <v>0.58540253990446234</v>
      </c>
      <c r="C3" s="42">
        <f>('Income Statement'!D2-'Income Statement'!C2)/'Income Statement'!C2</f>
        <v>-0.33343609521506878</v>
      </c>
      <c r="D3" s="42">
        <f>('Income Statement'!E2-'Income Statement'!D2)/'Income Statement'!D2</f>
        <v>0.68939806124952119</v>
      </c>
      <c r="E3" s="42">
        <f>('Income Statement'!F2-'Income Statement'!E2)/'Income Statement'!E2</f>
        <v>5.2642690333449593E-2</v>
      </c>
      <c r="F3" s="42">
        <f>('Income Statement'!G2-'Income Statement'!F2)/'Income Statement'!F2</f>
        <v>0.20442542807749428</v>
      </c>
      <c r="G3" s="42">
        <f>('Income Statement'!H2-'Income Statement'!G2)/'Income Statement'!G2</f>
        <v>-0.24383883743219603</v>
      </c>
      <c r="H3" s="42">
        <f>('Income Statement'!I2-'Income Statement'!H2)/'Income Statement'!H2</f>
        <v>1.4345492232917181</v>
      </c>
      <c r="I3" s="42">
        <f>('Income Statement'!J2-'Income Statement'!I2)/'Income Statement'!I2</f>
        <v>-6.1545243172501631E-2</v>
      </c>
      <c r="J3" s="42">
        <f>('Income Statement'!K2-'Income Statement'!J2)/'Income Statement'!J2</f>
        <v>4.5902753962633075E-2</v>
      </c>
      <c r="K3" s="42">
        <f>('Income Statement'!L2-'Income Statement'!K2)/'Income Statement'!K2</f>
        <v>0.44546390477997377</v>
      </c>
    </row>
    <row r="4" spans="1:11" ht="15.6" x14ac:dyDescent="0.3">
      <c r="A4" s="41" t="str">
        <f>'Income Statement'!A3</f>
        <v>Expenses</v>
      </c>
      <c r="B4" s="42">
        <f>('Income Statement'!C3-'Income Statement'!B3)/'Income Statement'!B3</f>
        <v>0.59056759857496544</v>
      </c>
      <c r="C4" s="42">
        <f>('Income Statement'!D3-'Income Statement'!C3)/'Income Statement'!C3</f>
        <v>-0.34751772780403783</v>
      </c>
      <c r="D4" s="42">
        <f>('Income Statement'!E3-'Income Statement'!D3)/'Income Statement'!D3</f>
        <v>0.72653047688146311</v>
      </c>
      <c r="E4" s="42">
        <f>('Income Statement'!F3-'Income Statement'!E3)/'Income Statement'!E3</f>
        <v>5.0936531782635588E-2</v>
      </c>
      <c r="F4" s="42">
        <f>('Income Statement'!G3-'Income Statement'!F3)/'Income Statement'!F3</f>
        <v>0.2069602631189939</v>
      </c>
      <c r="G4" s="42">
        <f>('Income Statement'!H3-'Income Statement'!G3)/'Income Statement'!G3</f>
        <v>-0.24975205983613763</v>
      </c>
      <c r="H4" s="42">
        <f>('Income Statement'!I3-'Income Statement'!H3)/'Income Statement'!H3</f>
        <v>1.4891975510837143</v>
      </c>
      <c r="I4" s="42">
        <f>('Income Statement'!J3-'Income Statement'!I3)/'Income Statement'!I3</f>
        <v>-5.6128217793048107E-2</v>
      </c>
      <c r="J4" s="42">
        <f>('Income Statement'!K3-'Income Statement'!J3)/'Income Statement'!J3</f>
        <v>5.695840135214162E-2</v>
      </c>
      <c r="K4" s="42">
        <f>('Income Statement'!L3-'Income Statement'!K3)/'Income Statement'!K3</f>
        <v>0.43953632794146075</v>
      </c>
    </row>
    <row r="5" spans="1:11" ht="15.6" x14ac:dyDescent="0.3">
      <c r="A5" s="44" t="str">
        <f>'Income Statement'!A4</f>
        <v>Operating Profit</v>
      </c>
      <c r="B5" s="42">
        <f>('Income Statement'!C4-'Income Statement'!B4)/'Income Statement'!B4</f>
        <v>0.44401652892561549</v>
      </c>
      <c r="C5" s="42">
        <f>('Income Statement'!D4-'Income Statement'!C4)/'Income Statement'!C4</f>
        <v>9.1148426679492342E-2</v>
      </c>
      <c r="D5" s="42">
        <f>('Income Statement'!E4-'Income Statement'!D4)/'Income Statement'!D4</f>
        <v>1.9900132178000886E-2</v>
      </c>
      <c r="E5" s="42">
        <f>('Income Statement'!F4-'Income Statement'!E4)/'Income Statement'!E4</f>
        <v>0.10471801939869547</v>
      </c>
      <c r="F5" s="42">
        <f>('Income Statement'!G4-'Income Statement'!F4)/'Income Statement'!F4</f>
        <v>0.13082380544486125</v>
      </c>
      <c r="G5" s="42">
        <f>('Income Statement'!H4-'Income Statement'!G4)/'Income Statement'!G4</f>
        <v>-6.0582108599891625E-2</v>
      </c>
      <c r="H5" s="42">
        <f>('Income Statement'!I4-'Income Statement'!H4)/'Income Statement'!H4</f>
        <v>8.1982874221068036E-2</v>
      </c>
      <c r="I5" s="42">
        <f>('Income Statement'!J4-'Income Statement'!I4)/'Income Statement'!I4</f>
        <v>-0.36999295266948495</v>
      </c>
      <c r="J5" s="42">
        <f>('Income Statement'!K4-'Income Statement'!J4)/'Income Statement'!J4</f>
        <v>-0.89722918675666019</v>
      </c>
      <c r="K5" s="42">
        <f>('Income Statement'!L4-'Income Statement'!K4)/'Income Statement'!K4</f>
        <v>5.6460653071431359</v>
      </c>
    </row>
    <row r="6" spans="1:11" ht="15.6" x14ac:dyDescent="0.3">
      <c r="A6" s="41" t="str">
        <f>'Income Statement'!A5</f>
        <v>Other Income</v>
      </c>
      <c r="B6" s="42">
        <f>('Income Statement'!C5-'Income Statement'!B5)/'Income Statement'!B5</f>
        <v>-0.67257261410788383</v>
      </c>
      <c r="C6" s="42">
        <f>('Income Statement'!D5-'Income Statement'!C5)/'Income Statement'!C5</f>
        <v>0.36459257381827415</v>
      </c>
      <c r="D6" s="42">
        <f>('Income Statement'!E5-'Income Statement'!D5)/'Income Statement'!D5</f>
        <v>0.29067607726597305</v>
      </c>
      <c r="E6" s="42">
        <f>('Income Statement'!F5-'Income Statement'!E5)/'Income Statement'!E5</f>
        <v>1.0266225356166359</v>
      </c>
      <c r="F6" s="42">
        <f>('Income Statement'!G5-'Income Statement'!F5)/'Income Statement'!F5</f>
        <v>-0.5183909678335582</v>
      </c>
      <c r="G6" s="42">
        <f>('Income Statement'!H5-'Income Statement'!G5)/'Income Statement'!G5</f>
        <v>1.7169922594913378</v>
      </c>
      <c r="H6" s="42">
        <f>('Income Statement'!I5-'Income Statement'!H5)/'Income Statement'!H5</f>
        <v>0.20753744302148905</v>
      </c>
      <c r="I6" s="42">
        <f>('Income Statement'!J5-'Income Statement'!I5)/'Income Statement'!I5</f>
        <v>0.72066059993259168</v>
      </c>
      <c r="J6" s="42">
        <f>('Income Statement'!K5-'Income Statement'!J5)/'Income Statement'!J5</f>
        <v>0.87693593460262742</v>
      </c>
      <c r="K6" s="42">
        <f>('Income Statement'!L5-'Income Statement'!K5)/'Income Statement'!K5</f>
        <v>-0.63486906186513792</v>
      </c>
    </row>
    <row r="7" spans="1:11" ht="15.6" x14ac:dyDescent="0.3">
      <c r="A7" s="41" t="str">
        <f>'Income Statement'!A6</f>
        <v>Depreciation</v>
      </c>
      <c r="B7" s="42">
        <f>('Income Statement'!C6-'Income Statement'!B6)/'Income Statement'!B6</f>
        <v>4.1951219512195097E-2</v>
      </c>
      <c r="C7" s="42">
        <f>('Income Statement'!D6-'Income Statement'!C6)/'Income Statement'!C6</f>
        <v>5.126404494382017E-2</v>
      </c>
      <c r="D7" s="42">
        <f>('Income Statement'!E6-'Income Statement'!D6)/'Income Statement'!D6</f>
        <v>-8.1718993542640728E-2</v>
      </c>
      <c r="E7" s="42">
        <f>('Income Statement'!F6-'Income Statement'!E6)/'Income Statement'!E6</f>
        <v>7.7837051406401569E-2</v>
      </c>
      <c r="F7" s="42">
        <f>('Income Statement'!G6-'Income Statement'!F6)/'Income Statement'!F6</f>
        <v>1.7772778402699644E-2</v>
      </c>
      <c r="G7" s="42">
        <f>('Income Statement'!H6-'Income Statement'!G6)/'Income Statement'!G6</f>
        <v>2.9398762157382807E-2</v>
      </c>
      <c r="H7" s="42">
        <f>('Income Statement'!I6-'Income Statement'!H6)/'Income Statement'!H6</f>
        <v>9.2763581704960282E-2</v>
      </c>
      <c r="I7" s="42">
        <f>('Income Statement'!J6-'Income Statement'!I6)/'Income Statement'!I6</f>
        <v>0.10571821575948129</v>
      </c>
      <c r="J7" s="42">
        <f>('Income Statement'!K6-'Income Statement'!J6)/'Income Statement'!J6</f>
        <v>0.34938688466323092</v>
      </c>
      <c r="K7" s="42">
        <f>('Income Statement'!L6-'Income Statement'!K6)/'Income Statement'!K6</f>
        <v>3.7139470564993983E-2</v>
      </c>
    </row>
    <row r="8" spans="1:11" ht="15.6" x14ac:dyDescent="0.3">
      <c r="A8" s="41" t="str">
        <f>'Income Statement'!A7</f>
        <v>Interest</v>
      </c>
      <c r="B8" s="42">
        <f>('Income Statement'!C7-'Income Statement'!B7)/'Income Statement'!B7</f>
        <v>-2.2818181818181817</v>
      </c>
      <c r="C8" s="42">
        <f>('Income Statement'!D7-'Income Statement'!C7)/'Income Statement'!C7</f>
        <v>-1.574468085106383</v>
      </c>
      <c r="D8" s="42">
        <f>('Income Statement'!E7-'Income Statement'!D7)/'Income Statement'!D7</f>
        <v>0.11851851851851863</v>
      </c>
      <c r="E8" s="42">
        <f>('Income Statement'!F7-'Income Statement'!E7)/'Income Statement'!E7</f>
        <v>0.18763796909492264</v>
      </c>
      <c r="F8" s="42">
        <f>('Income Statement'!G7-'Income Statement'!F7)/'Income Statement'!F7</f>
        <v>0.29553903345724902</v>
      </c>
      <c r="G8" s="42">
        <f>('Income Statement'!H7-'Income Statement'!G7)/'Income Statement'!G7</f>
        <v>-1</v>
      </c>
      <c r="H8" s="43" t="s">
        <v>36</v>
      </c>
      <c r="I8" s="43" t="s">
        <v>36</v>
      </c>
      <c r="J8" s="43" t="s">
        <v>36</v>
      </c>
      <c r="K8" s="43" t="s">
        <v>36</v>
      </c>
    </row>
    <row r="9" spans="1:11" ht="15.6" x14ac:dyDescent="0.3">
      <c r="A9" s="41" t="str">
        <f>'Income Statement'!A8</f>
        <v>Profit before tax</v>
      </c>
      <c r="B9" s="42">
        <f>('Income Statement'!C8-'Income Statement'!B8)/'Income Statement'!B8</f>
        <v>0.16362720403022665</v>
      </c>
      <c r="C9" s="42">
        <f>('Income Statement'!D8-'Income Statement'!C8)/'Income Statement'!C8</f>
        <v>9.0927785955493973E-2</v>
      </c>
      <c r="D9" s="42">
        <f>('Income Statement'!E8-'Income Statement'!D8)/'Income Statement'!D8</f>
        <v>5.2563174029942691E-2</v>
      </c>
      <c r="E9" s="42">
        <f>('Income Statement'!F8-'Income Statement'!E8)/'Income Statement'!E8</f>
        <v>0.22582499929305966</v>
      </c>
      <c r="F9" s="42">
        <f>('Income Statement'!G8-'Income Statement'!F8)/'Income Statement'!F8</f>
        <v>-7.2818706795131274E-3</v>
      </c>
      <c r="G9" s="42">
        <f>('Income Statement'!H8-'Income Statement'!G8)/'Income Statement'!G8</f>
        <v>0.13318151539093123</v>
      </c>
      <c r="H9" s="42">
        <f>('Income Statement'!I8-'Income Statement'!H8)/'Income Statement'!H8</f>
        <v>0.11327035599059443</v>
      </c>
      <c r="I9" s="42">
        <f>('Income Statement'!J8-'Income Statement'!I8)/'Income Statement'!I8</f>
        <v>-8.6825446529990774E-2</v>
      </c>
      <c r="J9" s="42">
        <f>('Income Statement'!K8-'Income Statement'!J8)/'Income Statement'!J8</f>
        <v>-3.0889017387679393E-2</v>
      </c>
      <c r="K9" s="42">
        <f>('Income Statement'!L8-'Income Statement'!K8)/'Income Statement'!K8</f>
        <v>-0.32195487469819334</v>
      </c>
    </row>
    <row r="10" spans="1:11" ht="15.6" x14ac:dyDescent="0.3">
      <c r="A10" s="41" t="str">
        <f>'Income Statement'!A9</f>
        <v>Tax</v>
      </c>
      <c r="B10" s="42">
        <f>('Income Statement'!C9-'Income Statement'!B9)/'Income Statement'!B9</f>
        <v>0.93688776938147222</v>
      </c>
      <c r="C10" s="42">
        <f>('Income Statement'!D9-'Income Statement'!C9)/'Income Statement'!C9</f>
        <v>0.3809695831226067</v>
      </c>
      <c r="D10" s="42">
        <f>('Income Statement'!E9-'Income Statement'!D9)/'Income Statement'!D9</f>
        <v>-8.9724809040493764E-2</v>
      </c>
      <c r="E10" s="42">
        <f>('Income Statement'!F9-'Income Statement'!E9)/'Income Statement'!E9</f>
        <v>0.11092591528248739</v>
      </c>
      <c r="F10" s="42">
        <f>('Income Statement'!G9-'Income Statement'!F9)/'Income Statement'!F9</f>
        <v>-0.93227792436235701</v>
      </c>
      <c r="G10" s="42">
        <f>('Income Statement'!H9-'Income Statement'!G9)/'Income Statement'!G9</f>
        <v>11.644003055767762</v>
      </c>
      <c r="H10" s="42">
        <f>('Income Statement'!I9-'Income Statement'!H9)/'Income Statement'!H9</f>
        <v>0.61802912210742567</v>
      </c>
      <c r="I10" s="42">
        <f>('Income Statement'!J9-'Income Statement'!I9)/'Income Statement'!I9</f>
        <v>-0.40134428678118006</v>
      </c>
      <c r="J10" s="42">
        <f>('Income Statement'!K9-'Income Statement'!J9)/'Income Statement'!J9</f>
        <v>-0.54434880239520955</v>
      </c>
      <c r="K10" s="42">
        <f>('Income Statement'!L9-'Income Statement'!K9)/'Income Statement'!K9</f>
        <v>-9.16974674880219</v>
      </c>
    </row>
    <row r="11" spans="1:11" ht="15.6" x14ac:dyDescent="0.3">
      <c r="A11" s="44" t="str">
        <f>'Income Statement'!A10</f>
        <v>Net profit</v>
      </c>
      <c r="B11" s="42">
        <f>('Income Statement'!C10-'Income Statement'!B10)/'Income Statement'!B10</f>
        <v>8.3462068965517222E-2</v>
      </c>
      <c r="C11" s="42">
        <f>('Income Statement'!D10-'Income Statement'!C10)/'Income Statement'!C10</f>
        <v>3.9821262619190043E-2</v>
      </c>
      <c r="D11" s="42">
        <f>('Income Statement'!E10-'Income Statement'!D10)/'Income Statement'!D10</f>
        <v>8.5860502699592306E-2</v>
      </c>
      <c r="E11" s="42">
        <f>('Income Statement'!F10-'Income Statement'!E10)/'Income Statement'!E10</f>
        <v>0.24836512876020397</v>
      </c>
      <c r="F11" s="42">
        <f>('Income Statement'!G10-'Income Statement'!F10)/'Income Statement'!F10</f>
        <v>0.15419978323699424</v>
      </c>
      <c r="G11" s="42">
        <f>('Income Statement'!H10-'Income Statement'!G10)/'Income Statement'!G10</f>
        <v>1.5266876902490739E-2</v>
      </c>
      <c r="H11" s="42">
        <f>('Income Statement'!I10-'Income Statement'!H10)/'Income Statement'!H10</f>
        <v>4.8888580589468364E-2</v>
      </c>
      <c r="I11" s="42">
        <f>('Income Statement'!J10-'Income Statement'!I10)/'Income Statement'!I10</f>
        <v>-2.4939928134208138E-2</v>
      </c>
      <c r="J11" s="42">
        <f>('Income Statement'!K10-'Income Statement'!J10)/'Income Statement'!J10</f>
        <v>3.116215625541657E-2</v>
      </c>
      <c r="K11" s="42">
        <f>('Income Statement'!L10-'Income Statement'!K10)/'Income Statement'!K10</f>
        <v>0.15040781126669978</v>
      </c>
    </row>
    <row r="12" spans="1:11" ht="15.6" x14ac:dyDescent="0.3">
      <c r="A12" s="41" t="str">
        <f>'Income Statement'!A11</f>
        <v>EPS</v>
      </c>
      <c r="B12" s="42">
        <f>('Income Statement'!C11-'Income Statement'!B11)/'Income Statement'!B11</f>
        <v>8.175572985839151E-2</v>
      </c>
      <c r="C12" s="42">
        <f>('Income Statement'!D11-'Income Statement'!C11)/'Income Statement'!C11</f>
        <v>3.9612808499485057E-2</v>
      </c>
      <c r="D12" s="42">
        <f>('Income Statement'!E11-'Income Statement'!D11)/'Income Statement'!D11</f>
        <v>8.4121821884661677E-2</v>
      </c>
      <c r="E12" s="42">
        <f>('Income Statement'!F11-'Income Statement'!E11)/'Income Statement'!E11</f>
        <v>0.24017383796155878</v>
      </c>
      <c r="F12" s="42">
        <f>('Income Statement'!G11-'Income Statement'!F11)/'Income Statement'!F11</f>
        <v>0.15093868540589925</v>
      </c>
      <c r="G12" s="42">
        <f>('Income Statement'!H11-'Income Statement'!G11)/'Income Statement'!G11</f>
        <v>1.4562808333210187E-2</v>
      </c>
      <c r="H12" s="42">
        <f>('Income Statement'!I11-'Income Statement'!H11)/'Income Statement'!H11</f>
        <v>4.7798637485288176E-2</v>
      </c>
      <c r="I12" s="42">
        <f>('Income Statement'!J11-'Income Statement'!I11)/'Income Statement'!I11</f>
        <v>-6.7263609186036702E-2</v>
      </c>
      <c r="J12" s="42">
        <f>('Income Statement'!K11-'Income Statement'!J11)/'Income Statement'!J11</f>
        <v>1.3507570161530093E-2</v>
      </c>
      <c r="K12" s="42">
        <f>('Income Statement'!L11-'Income Statement'!K11)/'Income Statement'!K11</f>
        <v>0.14960553700155488</v>
      </c>
    </row>
    <row r="13" spans="1:11" ht="15.6" x14ac:dyDescent="0.3">
      <c r="A13" s="41" t="str">
        <f>'Income Statement'!A12</f>
        <v>Price to earning</v>
      </c>
      <c r="B13" s="43" t="s">
        <v>36</v>
      </c>
      <c r="C13" s="43" t="s">
        <v>36</v>
      </c>
      <c r="D13" s="43" t="s">
        <v>36</v>
      </c>
      <c r="E13" s="43" t="s">
        <v>36</v>
      </c>
      <c r="F13" s="42">
        <f>('Income Statement'!G12-'Income Statement'!F12)/'Income Statement'!F12</f>
        <v>-0.27635162994277579</v>
      </c>
      <c r="G13" s="42">
        <f>('Income Statement'!H12-'Income Statement'!G12)/'Income Statement'!G12</f>
        <v>0.14931297360116877</v>
      </c>
      <c r="H13" s="42">
        <f>('Income Statement'!I12-'Income Statement'!H12)/'Income Statement'!H12</f>
        <v>0.5054733037139465</v>
      </c>
      <c r="I13" s="42">
        <f>('Income Statement'!J12-'Income Statement'!I12)/'Income Statement'!I12</f>
        <v>-0.17119807074243998</v>
      </c>
      <c r="J13" s="42">
        <f>('Income Statement'!K12-'Income Statement'!J12)/'Income Statement'!J12</f>
        <v>-8.4825551193239118E-2</v>
      </c>
      <c r="K13" s="42">
        <f>('Income Statement'!L12-'Income Statement'!K12)/'Income Statement'!K12</f>
        <v>0.10362200521221213</v>
      </c>
    </row>
    <row r="14" spans="1:11" ht="15.6" x14ac:dyDescent="0.3">
      <c r="A14" s="41" t="str">
        <f>'Income Statement'!A13</f>
        <v>Price</v>
      </c>
      <c r="B14" s="43" t="s">
        <v>36</v>
      </c>
      <c r="C14" s="43" t="s">
        <v>36</v>
      </c>
      <c r="D14" s="43" t="s">
        <v>36</v>
      </c>
      <c r="E14" s="43" t="s">
        <v>36</v>
      </c>
      <c r="F14" s="42">
        <f>('Income Statement'!G13-'Income Statement'!F13)/'Income Statement'!F13</f>
        <v>-0.16712509627021671</v>
      </c>
      <c r="G14" s="42">
        <f>('Income Statement'!H13-'Income Statement'!G13)/'Income Statement'!G13</f>
        <v>0.16605019815059452</v>
      </c>
      <c r="H14" s="42">
        <f>('Income Statement'!I13-'Income Statement'!H13)/'Income Statement'!H13</f>
        <v>0.57743287640194862</v>
      </c>
      <c r="I14" s="42">
        <f>('Income Statement'!J13-'Income Statement'!I13)/'Income Statement'!I13</f>
        <v>-0.22694627980465382</v>
      </c>
      <c r="J14" s="42">
        <f>('Income Statement'!K13-'Income Statement'!J13)/'Income Statement'!J13</f>
        <v>-7.2463768115942129E-2</v>
      </c>
      <c r="K14" s="42">
        <f>('Income Statement'!L13-'Income Statement'!K13)/'Income Statement'!K13</f>
        <v>0.26872996794871801</v>
      </c>
    </row>
    <row r="17" spans="1:11" ht="18" x14ac:dyDescent="0.35">
      <c r="A17" s="67" t="str">
        <f>CONCATENATE("Comparative Balance Sheet of ",'Basic Info'!B1," [", 'Basic Info'!B2,"]"," (",'Basic Info'!B3,")")</f>
        <v>Comparative Balance Sheet of HDFC Life Insurance Company Ltd. [HDFCLIFE] (2014-15 to 2023-24)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</row>
    <row r="18" spans="1:11" ht="15.6" x14ac:dyDescent="0.3">
      <c r="A18" s="40" t="str">
        <f>'Balance Sheet'!A1</f>
        <v>Narration</v>
      </c>
      <c r="B18" s="40">
        <f>'Balance Sheet'!C1</f>
        <v>42094</v>
      </c>
      <c r="C18" s="40">
        <f>'Balance Sheet'!D1</f>
        <v>42460</v>
      </c>
      <c r="D18" s="40">
        <f>'Balance Sheet'!E1</f>
        <v>42825</v>
      </c>
      <c r="E18" s="40">
        <f>'Balance Sheet'!F1</f>
        <v>43190</v>
      </c>
      <c r="F18" s="40">
        <f>'Balance Sheet'!G1</f>
        <v>43555</v>
      </c>
      <c r="G18" s="40">
        <f>'Balance Sheet'!H1</f>
        <v>43921</v>
      </c>
      <c r="H18" s="40">
        <f>'Balance Sheet'!I1</f>
        <v>44286</v>
      </c>
      <c r="I18" s="40">
        <f>'Balance Sheet'!J1</f>
        <v>44651</v>
      </c>
      <c r="J18" s="40">
        <f>'Balance Sheet'!K1</f>
        <v>45016</v>
      </c>
      <c r="K18" s="40">
        <f>'Balance Sheet'!L1</f>
        <v>45382</v>
      </c>
    </row>
    <row r="19" spans="1:11" ht="15.6" x14ac:dyDescent="0.3">
      <c r="A19" s="41" t="str">
        <f>'Balance Sheet'!A2</f>
        <v>Equity Share Capital</v>
      </c>
      <c r="B19" s="45">
        <f>('Balance Sheet'!C2-'Balance Sheet'!B2)/'Balance Sheet'!B2</f>
        <v>-6.0150375939794918E-5</v>
      </c>
      <c r="C19" s="45">
        <f>('Balance Sheet'!D2-'Balance Sheet'!C2)/'Balance Sheet'!C2</f>
        <v>2.0552614693608359E-4</v>
      </c>
      <c r="D19" s="45">
        <f>('Balance Sheet'!E2-'Balance Sheet'!D2)/'Balance Sheet'!D2</f>
        <v>1.5987650917911956E-3</v>
      </c>
      <c r="E19" s="45">
        <f>('Balance Sheet'!F2-'Balance Sheet'!E2)/'Balance Sheet'!E2</f>
        <v>6.6350426324006196E-3</v>
      </c>
      <c r="F19" s="45">
        <f>('Balance Sheet'!G2-'Balance Sheet'!F2)/'Balance Sheet'!F2</f>
        <v>2.8035432014077862E-3</v>
      </c>
      <c r="G19" s="45">
        <f>('Balance Sheet'!H2-'Balance Sheet'!G2)/'Balance Sheet'!G2</f>
        <v>7.0388325451815989E-4</v>
      </c>
      <c r="H19" s="45">
        <f>('Balance Sheet'!I2-'Balance Sheet'!H2)/'Balance Sheet'!H2</f>
        <v>1.0600356647513869E-3</v>
      </c>
      <c r="I19" s="45">
        <f>('Balance Sheet'!J2-'Balance Sheet'!I2)/'Balance Sheet'!I2</f>
        <v>4.5365028155214815E-2</v>
      </c>
      <c r="J19" s="45">
        <f>('Balance Sheet'!K2-'Balance Sheet'!J2)/'Balance Sheet'!J2</f>
        <v>1.7409661936363473E-2</v>
      </c>
      <c r="K19" s="45">
        <f>('Balance Sheet'!L2-'Balance Sheet'!K2)/'Balance Sheet'!K2</f>
        <v>7.1647901740018775E-4</v>
      </c>
    </row>
    <row r="20" spans="1:11" ht="15.6" x14ac:dyDescent="0.3">
      <c r="A20" s="41" t="str">
        <f>'Balance Sheet'!A3</f>
        <v>Reserves</v>
      </c>
      <c r="B20" s="46">
        <f>('Balance Sheet'!C3-'Balance Sheet'!B3)/'Balance Sheet'!B3</f>
        <v>-9.1552238805970152</v>
      </c>
      <c r="C20" s="46">
        <f>('Balance Sheet'!D3-'Balance Sheet'!C3)/'Balance Sheet'!C3</f>
        <v>1.0281844802342608</v>
      </c>
      <c r="D20" s="46">
        <f>('Balance Sheet'!E3-'Balance Sheet'!D3)/'Balance Sheet'!D3</f>
        <v>0.64937736870600959</v>
      </c>
      <c r="E20" s="46">
        <f>('Balance Sheet'!F3-'Balance Sheet'!E3)/'Balance Sheet'!E3</f>
        <v>0.47352612920168069</v>
      </c>
      <c r="F20" s="46">
        <f>('Balance Sheet'!G3-'Balance Sheet'!F3)/'Balance Sheet'!F3</f>
        <v>0.34597920077820721</v>
      </c>
      <c r="G20" s="46">
        <f>('Balance Sheet'!H3-'Balance Sheet'!G3)/'Balance Sheet'!G3</f>
        <v>0.32069777834172825</v>
      </c>
      <c r="H20" s="46">
        <f>('Balance Sheet'!I3-'Balance Sheet'!H3)/'Balance Sheet'!H3</f>
        <v>0.38243501217673193</v>
      </c>
      <c r="I20" s="46">
        <f>('Balance Sheet'!J3-'Balance Sheet'!I3)/'Balance Sheet'!I3</f>
        <v>1.039736510118827</v>
      </c>
      <c r="J20" s="46">
        <f>('Balance Sheet'!K3-'Balance Sheet'!J3)/'Balance Sheet'!J3</f>
        <v>-0.19680224225244447</v>
      </c>
      <c r="K20" s="46">
        <f>('Balance Sheet'!L3-'Balance Sheet'!K3)/'Balance Sheet'!K3</f>
        <v>0.15415991161720957</v>
      </c>
    </row>
    <row r="21" spans="1:11" ht="15.6" x14ac:dyDescent="0.3">
      <c r="A21" s="41" t="str">
        <f>'Balance Sheet'!A4</f>
        <v>Borrowings</v>
      </c>
      <c r="B21" s="47" t="s">
        <v>36</v>
      </c>
      <c r="C21" s="47" t="s">
        <v>36</v>
      </c>
      <c r="D21" s="47" t="s">
        <v>36</v>
      </c>
      <c r="E21" s="47" t="s">
        <v>36</v>
      </c>
      <c r="F21" s="47" t="s">
        <v>36</v>
      </c>
      <c r="G21" s="47" t="s">
        <v>36</v>
      </c>
      <c r="H21" s="47" t="s">
        <v>36</v>
      </c>
      <c r="I21" s="46">
        <f>('Balance Sheet'!J4-'Balance Sheet'!I4)/'Balance Sheet'!I4</f>
        <v>0</v>
      </c>
      <c r="J21" s="46">
        <f>('Balance Sheet'!K4-'Balance Sheet'!J4)/'Balance Sheet'!J4</f>
        <v>0.58333333333333337</v>
      </c>
      <c r="K21" s="46">
        <f>('Balance Sheet'!L4-'Balance Sheet'!K4)/'Balance Sheet'!K4</f>
        <v>0</v>
      </c>
    </row>
    <row r="22" spans="1:11" ht="15.6" x14ac:dyDescent="0.3">
      <c r="A22" s="41" t="str">
        <f>'Balance Sheet'!A5</f>
        <v>Other Liabilities</v>
      </c>
      <c r="B22" s="46">
        <f>('Balance Sheet'!C5-'Balance Sheet'!B5)/'Balance Sheet'!B5</f>
        <v>0.32614137883091354</v>
      </c>
      <c r="C22" s="46">
        <f>('Balance Sheet'!D5-'Balance Sheet'!C5)/'Balance Sheet'!C5</f>
        <v>9.9953959456763428E-2</v>
      </c>
      <c r="D22" s="46">
        <f>('Balance Sheet'!E5-'Balance Sheet'!D5)/'Balance Sheet'!D5</f>
        <v>0.24277156771929098</v>
      </c>
      <c r="E22" s="46">
        <f>('Balance Sheet'!F5-'Balance Sheet'!E5)/'Balance Sheet'!E5</f>
        <v>0.15895058904736217</v>
      </c>
      <c r="F22" s="46">
        <f>('Balance Sheet'!G5-'Balance Sheet'!F5)/'Balance Sheet'!F5</f>
        <v>0.17584139418408651</v>
      </c>
      <c r="G22" s="46">
        <f>('Balance Sheet'!H5-'Balance Sheet'!G5)/'Balance Sheet'!G5</f>
        <v>8.3569569202094664E-3</v>
      </c>
      <c r="H22" s="46">
        <f>('Balance Sheet'!I5-'Balance Sheet'!H5)/'Balance Sheet'!H5</f>
        <v>0.35878658777585826</v>
      </c>
      <c r="I22" s="46">
        <f>('Balance Sheet'!J5-'Balance Sheet'!I5)/'Balance Sheet'!I5</f>
        <v>0.25881410261112192</v>
      </c>
      <c r="J22" s="46">
        <f>('Balance Sheet'!K5-'Balance Sheet'!J5)/'Balance Sheet'!J5</f>
        <v>9.1389556422230081E-2</v>
      </c>
      <c r="K22" s="46">
        <f>('Balance Sheet'!L5-'Balance Sheet'!K5)/'Balance Sheet'!K5</f>
        <v>0.22613663209114093</v>
      </c>
    </row>
    <row r="23" spans="1:11" ht="15.6" x14ac:dyDescent="0.3">
      <c r="A23" s="49" t="str">
        <f>('Balance Sheet'!A6)</f>
        <v>Total Liabilities</v>
      </c>
      <c r="B23" s="46">
        <f>('Balance Sheet'!C6-'Balance Sheet'!B6)/'Balance Sheet'!B6</f>
        <v>0.32584447632711627</v>
      </c>
      <c r="C23" s="46">
        <f>('Balance Sheet'!D6-'Balance Sheet'!C6)/'Balance Sheet'!C6</f>
        <v>0.10440072879928759</v>
      </c>
      <c r="D23" s="46">
        <f>('Balance Sheet'!E6-'Balance Sheet'!D6)/'Balance Sheet'!D6</f>
        <v>0.24237168032453854</v>
      </c>
      <c r="E23" s="46">
        <f>('Balance Sheet'!F6-'Balance Sheet'!E6)/'Balance Sheet'!E6</f>
        <v>0.16179605636670175</v>
      </c>
      <c r="F23" s="46">
        <f>('Balance Sheet'!G6-'Balance Sheet'!F6)/'Balance Sheet'!F6</f>
        <v>0.17683826317974138</v>
      </c>
      <c r="G23" s="46">
        <f>('Balance Sheet'!H6-'Balance Sheet'!G6)/'Balance Sheet'!G6</f>
        <v>1.6946877801723607E-2</v>
      </c>
      <c r="H23" s="46">
        <f>('Balance Sheet'!I6-'Balance Sheet'!H6)/'Balance Sheet'!H6</f>
        <v>0.35871886955341264</v>
      </c>
      <c r="I23" s="46">
        <f>('Balance Sheet'!J6-'Balance Sheet'!I6)/'Balance Sheet'!I6</f>
        <v>0.28431938230065795</v>
      </c>
      <c r="J23" s="46">
        <f>('Balance Sheet'!K6-'Balance Sheet'!J6)/'Balance Sheet'!J6</f>
        <v>7.5128789827440104E-2</v>
      </c>
      <c r="K23" s="46">
        <f>('Balance Sheet'!L6-'Balance Sheet'!K6)/'Balance Sheet'!K6</f>
        <v>0.22017118203888636</v>
      </c>
    </row>
    <row r="24" spans="1:11" ht="15.6" x14ac:dyDescent="0.3">
      <c r="A24" s="41" t="str">
        <f>'Balance Sheet'!A8</f>
        <v>Net Block</v>
      </c>
      <c r="B24" s="46">
        <f>('Balance Sheet'!C8-'Balance Sheet'!B8)/'Balance Sheet'!B8</f>
        <v>0.24025089605734756</v>
      </c>
      <c r="C24" s="46">
        <f>('Balance Sheet'!D8-'Balance Sheet'!C8)/'Balance Sheet'!C8</f>
        <v>-3.1297864347021892E-2</v>
      </c>
      <c r="D24" s="46">
        <f>('Balance Sheet'!E8-'Balance Sheet'!D8)/'Balance Sheet'!D8</f>
        <v>6.4737470167064914E-3</v>
      </c>
      <c r="E24" s="46">
        <f>('Balance Sheet'!F8-'Balance Sheet'!E8)/'Balance Sheet'!E8</f>
        <v>-2.8158994575688077E-3</v>
      </c>
      <c r="F24" s="46">
        <f>('Balance Sheet'!G8-'Balance Sheet'!F8)/'Balance Sheet'!F8</f>
        <v>0.10029130253849357</v>
      </c>
      <c r="G24" s="46">
        <f>('Balance Sheet'!H8-'Balance Sheet'!G8)/'Balance Sheet'!G8</f>
        <v>-0.12929543980981201</v>
      </c>
      <c r="H24" s="46">
        <f>('Balance Sheet'!I8-'Balance Sheet'!H8)/'Balance Sheet'!H8</f>
        <v>0.81408625504188625</v>
      </c>
      <c r="I24" s="46">
        <f>('Balance Sheet'!J8-'Balance Sheet'!I8)/'Balance Sheet'!I8</f>
        <v>10.297188205514127</v>
      </c>
      <c r="J24" s="46">
        <f>('Balance Sheet'!K8-'Balance Sheet'!J8)/'Balance Sheet'!J8</f>
        <v>-0.84902895277083046</v>
      </c>
      <c r="K24" s="46">
        <f>('Balance Sheet'!L8-'Balance Sheet'!K8)/'Balance Sheet'!K8</f>
        <v>0.5533393501805054</v>
      </c>
    </row>
    <row r="25" spans="1:11" ht="15.6" x14ac:dyDescent="0.3">
      <c r="A25" s="41" t="str">
        <f>'Balance Sheet'!A9</f>
        <v>Capital Work in Progress</v>
      </c>
      <c r="B25" s="46">
        <f>('Balance Sheet'!C9-'Balance Sheet'!B9)/'Balance Sheet'!B9</f>
        <v>-0.35599999999999998</v>
      </c>
      <c r="C25" s="46">
        <f>('Balance Sheet'!D9-'Balance Sheet'!C9)/'Balance Sheet'!C9</f>
        <v>0.88819875776397506</v>
      </c>
      <c r="D25" s="46">
        <f>('Balance Sheet'!E9-'Balance Sheet'!D9)/'Balance Sheet'!D9</f>
        <v>0.32319078947368418</v>
      </c>
      <c r="E25" s="46">
        <f>('Balance Sheet'!F9-'Balance Sheet'!E9)/'Balance Sheet'!E9</f>
        <v>-0.67184586699813542</v>
      </c>
      <c r="F25" s="46">
        <f>('Balance Sheet'!G9-'Balance Sheet'!F9)/'Balance Sheet'!F9</f>
        <v>0.92992424242424221</v>
      </c>
      <c r="G25" s="46">
        <f>('Balance Sheet'!H9-'Balance Sheet'!G9)/'Balance Sheet'!G9</f>
        <v>-0.17468105986261034</v>
      </c>
      <c r="H25" s="46">
        <f>('Balance Sheet'!I9-'Balance Sheet'!H9)/'Balance Sheet'!H9</f>
        <v>0.69322235434007129</v>
      </c>
      <c r="I25" s="46">
        <f>('Balance Sheet'!J9-'Balance Sheet'!I9)/'Balance Sheet'!I9</f>
        <v>0.3904494382022472</v>
      </c>
      <c r="J25" s="46">
        <f>('Balance Sheet'!K9-'Balance Sheet'!J9)/'Balance Sheet'!J9</f>
        <v>0.55505050505050491</v>
      </c>
      <c r="K25" s="46">
        <f>('Balance Sheet'!L9-'Balance Sheet'!K9)/'Balance Sheet'!K9</f>
        <v>-0.10133160116921071</v>
      </c>
    </row>
    <row r="26" spans="1:11" ht="15.6" x14ac:dyDescent="0.3">
      <c r="A26" s="41" t="str">
        <f>'Balance Sheet'!A10</f>
        <v>Investments</v>
      </c>
      <c r="B26" s="46">
        <f>('Balance Sheet'!C10-'Balance Sheet'!B10)/'Balance Sheet'!B10</f>
        <v>0.32648999544797824</v>
      </c>
      <c r="C26" s="46">
        <f>('Balance Sheet'!D10-'Balance Sheet'!C10)/'Balance Sheet'!C10</f>
        <v>0.10623309176653696</v>
      </c>
      <c r="D26" s="46">
        <f>('Balance Sheet'!E10-'Balance Sheet'!D10)/'Balance Sheet'!D10</f>
        <v>0.2371038232793409</v>
      </c>
      <c r="E26" s="46">
        <f>('Balance Sheet'!F10-'Balance Sheet'!E10)/'Balance Sheet'!E10</f>
        <v>0.1620790892795877</v>
      </c>
      <c r="F26" s="46">
        <f>('Balance Sheet'!G10-'Balance Sheet'!F10)/'Balance Sheet'!F10</f>
        <v>0.17232489613460486</v>
      </c>
      <c r="G26" s="46">
        <f>('Balance Sheet'!H10-'Balance Sheet'!G10)/'Balance Sheet'!G10</f>
        <v>1.8388102815690789E-2</v>
      </c>
      <c r="H26" s="46">
        <f>('Balance Sheet'!I10-'Balance Sheet'!H10)/'Balance Sheet'!H10</f>
        <v>0.36389612694000134</v>
      </c>
      <c r="I26" s="46">
        <f>('Balance Sheet'!J10-'Balance Sheet'!I10)/'Balance Sheet'!I10</f>
        <v>0.24767334527631579</v>
      </c>
      <c r="J26" s="46">
        <f>('Balance Sheet'!K10-'Balance Sheet'!J10)/'Balance Sheet'!J10</f>
        <v>9.9960267953952894E-2</v>
      </c>
      <c r="K26" s="46">
        <f>('Balance Sheet'!L10-'Balance Sheet'!K10)/'Balance Sheet'!K10</f>
        <v>0.2222144182275938</v>
      </c>
    </row>
    <row r="27" spans="1:11" ht="15.6" x14ac:dyDescent="0.3">
      <c r="A27" s="41" t="str">
        <f>'Balance Sheet'!A11</f>
        <v>Other Assets</v>
      </c>
      <c r="B27" s="46">
        <f>('Balance Sheet'!C11-'Balance Sheet'!B11)/'Balance Sheet'!B11</f>
        <v>0.32543895747599449</v>
      </c>
      <c r="C27" s="46">
        <f>('Balance Sheet'!D11-'Balance Sheet'!C11)/'Balance Sheet'!C11</f>
        <v>6.2535899280203325E-2</v>
      </c>
      <c r="D27" s="46">
        <f>('Balance Sheet'!E11-'Balance Sheet'!D11)/'Balance Sheet'!D11</f>
        <v>0.47061860188765603</v>
      </c>
      <c r="E27" s="46">
        <f>('Balance Sheet'!F11-'Balance Sheet'!E11)/'Balance Sheet'!E11</f>
        <v>0.17603189741959413</v>
      </c>
      <c r="F27" s="46">
        <f>('Balance Sheet'!G11-'Balance Sheet'!F11)/'Balance Sheet'!F11</f>
        <v>0.31843806670346148</v>
      </c>
      <c r="G27" s="46">
        <f>('Balance Sheet'!H11-'Balance Sheet'!G11)/'Balance Sheet'!G11</f>
        <v>-9.5384753390045582E-3</v>
      </c>
      <c r="H27" s="46">
        <f>('Balance Sheet'!I11-'Balance Sheet'!H11)/'Balance Sheet'!H11</f>
        <v>0.18439523615450795</v>
      </c>
      <c r="I27" s="46">
        <f>('Balance Sheet'!J11-'Balance Sheet'!I11)/'Balance Sheet'!I11</f>
        <v>0.37618592457055472</v>
      </c>
      <c r="J27" s="46">
        <f>('Balance Sheet'!K11-'Balance Sheet'!J11)/'Balance Sheet'!J11</f>
        <v>0.17005279959570133</v>
      </c>
      <c r="K27" s="46">
        <f>('Balance Sheet'!L11-'Balance Sheet'!K11)/'Balance Sheet'!K11</f>
        <v>0.12869509371155663</v>
      </c>
    </row>
    <row r="28" spans="1:11" ht="15.6" x14ac:dyDescent="0.3">
      <c r="A28" s="48" t="str">
        <f>'Balance Sheet'!A12</f>
        <v>Total Assets</v>
      </c>
      <c r="B28" s="46">
        <f>('Balance Sheet'!C12-'Balance Sheet'!B12)/'Balance Sheet'!B12</f>
        <v>0.32584447632711627</v>
      </c>
      <c r="C28" s="46">
        <f>('Balance Sheet'!D12-'Balance Sheet'!C12)/'Balance Sheet'!C12</f>
        <v>0.10440072879928759</v>
      </c>
      <c r="D28" s="46">
        <f>('Balance Sheet'!E12-'Balance Sheet'!D12)/'Balance Sheet'!D12</f>
        <v>0.24237168032453854</v>
      </c>
      <c r="E28" s="46">
        <f>('Balance Sheet'!F12-'Balance Sheet'!E12)/'Balance Sheet'!E12</f>
        <v>0.16179605636670175</v>
      </c>
      <c r="F28" s="46">
        <f>('Balance Sheet'!G12-'Balance Sheet'!F12)/'Balance Sheet'!F12</f>
        <v>0.17683826317974138</v>
      </c>
      <c r="G28" s="46">
        <f>('Balance Sheet'!H12-'Balance Sheet'!G12)/'Balance Sheet'!G12</f>
        <v>1.6946877801723607E-2</v>
      </c>
      <c r="H28" s="46">
        <f>('Balance Sheet'!I12-'Balance Sheet'!H12)/'Balance Sheet'!H12</f>
        <v>0.35871886955341264</v>
      </c>
      <c r="I28" s="46">
        <f>('Balance Sheet'!J12-'Balance Sheet'!I12)/'Balance Sheet'!I12</f>
        <v>0.28431938230065795</v>
      </c>
      <c r="J28" s="46">
        <f>('Balance Sheet'!K12-'Balance Sheet'!J12)/'Balance Sheet'!J12</f>
        <v>7.5128789827440104E-2</v>
      </c>
      <c r="K28" s="46">
        <f>('Balance Sheet'!L12-'Balance Sheet'!K12)/'Balance Sheet'!K12</f>
        <v>0.22017118203888636</v>
      </c>
    </row>
  </sheetData>
  <mergeCells count="2">
    <mergeCell ref="A17:K17"/>
    <mergeCell ref="A1:K1"/>
  </mergeCells>
  <conditionalFormatting sqref="B3:K4">
    <cfRule type="colorScale" priority="18">
      <colorScale>
        <cfvo type="min"/>
        <cfvo type="max"/>
        <color rgb="FFFFEF9C"/>
        <color rgb="FF63BE7B"/>
      </colorScale>
    </cfRule>
  </conditionalFormatting>
  <conditionalFormatting sqref="B11:K11">
    <cfRule type="iconSet" priority="15">
      <iconSet iconSet="3ArrowsGray">
        <cfvo type="percent" val="0"/>
        <cfvo type="percent" val="33"/>
        <cfvo type="percent" val="67"/>
      </iconSet>
    </cfRule>
    <cfRule type="colorScale" priority="16">
      <colorScale>
        <cfvo type="min"/>
        <cfvo type="max"/>
        <color rgb="FF63BE7B"/>
        <color rgb="FFFCFCFF"/>
      </colorScale>
    </cfRule>
  </conditionalFormatting>
  <conditionalFormatting sqref="B23:K2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{80C568E8-7974-4C4B-A998-04C423F4998E}</x14:id>
        </ext>
      </extLst>
    </cfRule>
  </conditionalFormatting>
  <conditionalFormatting sqref="B28:K2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{17A4F7D1-2F37-4317-946F-0011660B4982}</x14:id>
        </ext>
      </extLst>
    </cfRule>
  </conditionalFormatting>
  <conditionalFormatting sqref="B19:K19">
    <cfRule type="iconSet" priority="1">
      <iconSet iconSet="3Signs">
        <cfvo type="percent" val="0"/>
        <cfvo type="percent" val="33"/>
        <cfvo type="percent" val="67"/>
      </iconSet>
    </cfRule>
    <cfRule type="colorScale" priority="4">
      <colorScale>
        <cfvo type="min"/>
        <cfvo type="max"/>
        <color rgb="FFF8696B"/>
        <color rgb="FFFCFCFF"/>
      </colorScale>
    </cfRule>
  </conditionalFormatting>
  <conditionalFormatting sqref="B20:K20">
    <cfRule type="iconSet" priority="2">
      <iconSet iconSet="3Signs">
        <cfvo type="percent" val="0"/>
        <cfvo type="percent" val="33"/>
        <cfvo type="percent" val="67"/>
      </iconSet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8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C568E8-7974-4C4B-A998-04C423F499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B23:K23</xm:sqref>
        </x14:conditionalFormatting>
        <x14:conditionalFormatting xmlns:xm="http://schemas.microsoft.com/office/excel/2006/main">
          <x14:cfRule type="dataBar" id="{17A4F7D1-2F37-4317-946F-0011660B4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B28:K28</xm:sqref>
        </x14:conditionalFormatting>
        <x14:conditionalFormatting xmlns:xm="http://schemas.microsoft.com/office/excel/2006/main">
          <x14:cfRule type="iconSet" priority="17" id="{367C5FBE-9918-4281-A835-6B0B0468D46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B3:K4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79998168889431442"/>
  </sheetPr>
  <dimension ref="A1:K28"/>
  <sheetViews>
    <sheetView showGridLines="0" zoomScaleNormal="100" workbookViewId="0">
      <selection activeCell="N20" sqref="N20"/>
    </sheetView>
  </sheetViews>
  <sheetFormatPr defaultRowHeight="14.4" x14ac:dyDescent="0.3"/>
  <cols>
    <col min="1" max="1" width="24.109375" customWidth="1"/>
    <col min="11" max="11" width="17.88671875" customWidth="1"/>
  </cols>
  <sheetData>
    <row r="1" spans="1:11" ht="18" x14ac:dyDescent="0.35">
      <c r="A1" s="69" t="str">
        <f>CONCATENATE("Common Size Income Statement of ",'Basic Info'!B1," [", 'Basic Info'!B2,"]"," (",'Basic Info'!B3,")")</f>
        <v>Common Size Income Statement of HDFC Life Insurance Company Ltd. [HDFCLIFE] (2014-15 to 2023-24)</v>
      </c>
      <c r="B1" s="70"/>
      <c r="C1" s="70"/>
      <c r="D1" s="70"/>
      <c r="E1" s="70"/>
      <c r="F1" s="70"/>
      <c r="G1" s="70"/>
      <c r="H1" s="70"/>
      <c r="I1" s="70"/>
      <c r="J1" s="70"/>
      <c r="K1" s="71"/>
    </row>
    <row r="2" spans="1:11" ht="15.6" x14ac:dyDescent="0.3">
      <c r="A2" s="40" t="str">
        <f>'Income Statement'!A1</f>
        <v>Narration</v>
      </c>
      <c r="B2" s="40" t="str">
        <f>'Income Statement'!C1</f>
        <v>Mar-15</v>
      </c>
      <c r="C2" s="40" t="str">
        <f>'Income Statement'!D1</f>
        <v>Mar-16</v>
      </c>
      <c r="D2" s="40" t="str">
        <f>'Income Statement'!E1</f>
        <v>Mar-17</v>
      </c>
      <c r="E2" s="40" t="str">
        <f>'Income Statement'!F1</f>
        <v>Mar-18</v>
      </c>
      <c r="F2" s="40" t="str">
        <f>'Income Statement'!G1</f>
        <v>Mar-19</v>
      </c>
      <c r="G2" s="40" t="str">
        <f>'Income Statement'!H1</f>
        <v>Mar-20</v>
      </c>
      <c r="H2" s="40" t="str">
        <f>'Income Statement'!I1</f>
        <v>Mar-21</v>
      </c>
      <c r="I2" s="40" t="str">
        <f>'Income Statement'!J1</f>
        <v>Mar-22</v>
      </c>
      <c r="J2" s="40" t="str">
        <f>'Income Statement'!K1</f>
        <v>Mar-23</v>
      </c>
      <c r="K2" s="40" t="str">
        <f>'Income Statement'!L1</f>
        <v>Mar-24</v>
      </c>
    </row>
    <row r="3" spans="1:11" ht="15.6" x14ac:dyDescent="0.3">
      <c r="A3" s="41" t="str">
        <f>'Income Statement'!A2</f>
        <v>Sales</v>
      </c>
      <c r="B3" s="46">
        <f>'Income Statement'!C2/'Income Statement'!C$2</f>
        <v>1</v>
      </c>
      <c r="C3" s="46">
        <f>'Income Statement'!D2/'Income Statement'!D$2</f>
        <v>1</v>
      </c>
      <c r="D3" s="46">
        <f>'Income Statement'!E2/'Income Statement'!E$2</f>
        <v>1</v>
      </c>
      <c r="E3" s="46">
        <f>'Income Statement'!F2/'Income Statement'!F$2</f>
        <v>1</v>
      </c>
      <c r="F3" s="46">
        <f>'Income Statement'!G2/'Income Statement'!G$2</f>
        <v>1</v>
      </c>
      <c r="G3" s="46">
        <f>'Income Statement'!H2/'Income Statement'!H$2</f>
        <v>1</v>
      </c>
      <c r="H3" s="46">
        <f>'Income Statement'!I2/'Income Statement'!I$2</f>
        <v>1</v>
      </c>
      <c r="I3" s="46">
        <f>'Income Statement'!J2/'Income Statement'!J$2</f>
        <v>1</v>
      </c>
      <c r="J3" s="46">
        <f>'Income Statement'!K2/'Income Statement'!K$2</f>
        <v>1</v>
      </c>
      <c r="K3" s="46">
        <f>'Income Statement'!L2/'Income Statement'!L$2</f>
        <v>1</v>
      </c>
    </row>
    <row r="4" spans="1:11" ht="15.6" x14ac:dyDescent="0.3">
      <c r="A4" s="41" t="str">
        <f>'Income Statement'!A3</f>
        <v>Expenses</v>
      </c>
      <c r="B4" s="46">
        <f>'Income Statement'!C3/'Income Statement'!C$2</f>
        <v>0.96789897637407585</v>
      </c>
      <c r="C4" s="46">
        <f>'Income Statement'!D3/'Income Statement'!D$2</f>
        <v>0.94745142787842695</v>
      </c>
      <c r="D4" s="46">
        <f>'Income Statement'!E3/'Income Statement'!E$2</f>
        <v>0.96827609970564432</v>
      </c>
      <c r="E4" s="46">
        <f>'Income Statement'!F3/'Income Statement'!F$2</f>
        <v>0.96670668535238613</v>
      </c>
      <c r="F4" s="46">
        <f>'Income Statement'!G3/'Income Statement'!G$2</f>
        <v>0.96874121727421258</v>
      </c>
      <c r="G4" s="46">
        <f>'Income Statement'!H3/'Income Statement'!H$2</f>
        <v>0.96116560700330844</v>
      </c>
      <c r="H4" s="46">
        <f>'Income Statement'!I3/'Income Statement'!I$2</f>
        <v>0.98274089192726255</v>
      </c>
      <c r="I4" s="46">
        <f>'Income Statement'!J3/'Income Statement'!J$2</f>
        <v>0.98841354936148262</v>
      </c>
      <c r="J4" s="46">
        <f>'Income Statement'!K3/'Income Statement'!K$2</f>
        <v>0.99886151083338026</v>
      </c>
      <c r="K4" s="46">
        <f>'Income Statement'!L3/'Income Statement'!L$2</f>
        <v>0.99476536679483418</v>
      </c>
    </row>
    <row r="5" spans="1:11" ht="15.6" x14ac:dyDescent="0.3">
      <c r="A5" s="52" t="str">
        <f>'Income Statement'!A4</f>
        <v>Operating Profit</v>
      </c>
      <c r="B5" s="45">
        <f>'Income Statement'!C4/'Income Statement'!C$2</f>
        <v>3.2101023625924117E-2</v>
      </c>
      <c r="C5" s="45">
        <f>'Income Statement'!D4/'Income Statement'!D$2</f>
        <v>5.2548572121573052E-2</v>
      </c>
      <c r="D5" s="45">
        <f>'Income Statement'!E4/'Income Statement'!E$2</f>
        <v>3.1723900294355664E-2</v>
      </c>
      <c r="E5" s="45">
        <f>'Income Statement'!F4/'Income Statement'!F$2</f>
        <v>3.3293314647613842E-2</v>
      </c>
      <c r="F5" s="45">
        <f>'Income Statement'!G4/'Income Statement'!G$2</f>
        <v>3.125878272578736E-2</v>
      </c>
      <c r="G5" s="45">
        <f>'Income Statement'!H4/'Income Statement'!H$2</f>
        <v>3.8834392996691586E-2</v>
      </c>
      <c r="H5" s="45">
        <f>'Income Statement'!I4/'Income Statement'!I$2</f>
        <v>1.7259108072737488E-2</v>
      </c>
      <c r="I5" s="45">
        <f>'Income Statement'!J4/'Income Statement'!J$2</f>
        <v>1.1586450638517338E-2</v>
      </c>
      <c r="J5" s="45">
        <f>'Income Statement'!K4/'Income Statement'!K$2</f>
        <v>1.1384891666197706E-3</v>
      </c>
      <c r="K5" s="45">
        <f>'Income Statement'!L4/'Income Statement'!L$2</f>
        <v>5.2346332051658642E-3</v>
      </c>
    </row>
    <row r="6" spans="1:11" ht="15.6" x14ac:dyDescent="0.3">
      <c r="A6" s="41" t="str">
        <f>'Income Statement'!A5</f>
        <v>Other Income</v>
      </c>
      <c r="B6" s="45">
        <f>'Income Statement'!C5/'Income Statement'!C$2</f>
        <v>2.8995018192160063E-3</v>
      </c>
      <c r="C6" s="45">
        <f>'Income Statement'!D5/'Income Statement'!D$2</f>
        <v>5.9358729476228674E-3</v>
      </c>
      <c r="D6" s="45">
        <f>'Income Statement'!E5/'Income Statement'!E$2</f>
        <v>4.5349224596129877E-3</v>
      </c>
      <c r="E6" s="45">
        <f>'Income Statement'!F5/'Income Statement'!F$2</f>
        <v>8.7309550888672108E-3</v>
      </c>
      <c r="F6" s="45">
        <f>'Income Statement'!G5/'Income Statement'!G$2</f>
        <v>3.4912139284122273E-3</v>
      </c>
      <c r="G6" s="45">
        <f>'Income Statement'!H5/'Income Statement'!H$2</f>
        <v>1.2544417366679828E-2</v>
      </c>
      <c r="H6" s="45">
        <f>'Income Statement'!I5/'Income Statement'!I$2</f>
        <v>6.2220363121981695E-3</v>
      </c>
      <c r="I6" s="45">
        <f>'Income Statement'!J5/'Income Statement'!J$2</f>
        <v>1.1408128794553272E-2</v>
      </c>
      <c r="J6" s="45">
        <f>'Income Statement'!K5/'Income Statement'!K$2</f>
        <v>2.0472579118801123E-2</v>
      </c>
      <c r="K6" s="45">
        <f>'Income Statement'!L5/'Income Statement'!L$2</f>
        <v>5.1714691698412909E-3</v>
      </c>
    </row>
    <row r="7" spans="1:11" ht="15.6" x14ac:dyDescent="0.3">
      <c r="A7" s="41" t="str">
        <f>'Income Statement'!A6</f>
        <v>Depreciation</v>
      </c>
      <c r="B7" s="45">
        <f>'Income Statement'!C6/'Income Statement'!C$2</f>
        <v>1.5697214258890862E-3</v>
      </c>
      <c r="C7" s="45">
        <f>'Income Statement'!D6/'Income Statement'!D$2</f>
        <v>2.4756691500533333E-3</v>
      </c>
      <c r="D7" s="45">
        <f>'Income Statement'!E6/'Income Statement'!E$2</f>
        <v>1.345662701355876E-3</v>
      </c>
      <c r="E7" s="45">
        <f>'Income Statement'!F6/'Income Statement'!F$2</f>
        <v>1.377870317759524E-3</v>
      </c>
      <c r="F7" s="45">
        <f>'Income Statement'!G6/'Income Statement'!G$2</f>
        <v>1.1643385043963817E-3</v>
      </c>
      <c r="G7" s="45">
        <f>'Income Statement'!H6/'Income Statement'!H$2</f>
        <v>1.5850703189881688E-3</v>
      </c>
      <c r="H7" s="45">
        <f>'Income Statement'!I6/'Income Statement'!I$2</f>
        <v>7.1146933586735156E-4</v>
      </c>
      <c r="I7" s="45">
        <f>'Income Statement'!J6/'Income Statement'!J$2</f>
        <v>8.382765379998337E-4</v>
      </c>
      <c r="J7" s="45">
        <f>'Income Statement'!K6/'Income Statement'!K$2</f>
        <v>1.0815148557666834E-3</v>
      </c>
      <c r="K7" s="45">
        <f>'Income Statement'!L6/'Income Statement'!L$2</f>
        <v>7.7600121401078816E-4</v>
      </c>
    </row>
    <row r="8" spans="1:11" ht="15.6" x14ac:dyDescent="0.3">
      <c r="A8" s="41" t="str">
        <f>'Income Statement'!A7</f>
        <v>Interest</v>
      </c>
      <c r="B8" s="45">
        <f>'Income Statement'!C7/'Income Statement'!C$2</f>
        <v>-5.1809625714035849E-4</v>
      </c>
      <c r="C8" s="45">
        <f>'Income Statement'!D7/'Income Statement'!D$2</f>
        <v>4.4651347395751505E-4</v>
      </c>
      <c r="D8" s="45">
        <f>'Income Statement'!E7/'Income Statement'!E$2</f>
        <v>2.9562812983230445E-4</v>
      </c>
      <c r="E8" s="45">
        <f>'Income Statement'!F7/'Income Statement'!F$2</f>
        <v>3.3354071134066314E-4</v>
      </c>
      <c r="F8" s="45">
        <f>'Income Statement'!G7/'Income Statement'!G$2</f>
        <v>3.5877273986042351E-4</v>
      </c>
      <c r="G8" s="45">
        <f>'Income Statement'!H7/'Income Statement'!H$2</f>
        <v>0</v>
      </c>
      <c r="H8" s="45">
        <f>'Income Statement'!I7/'Income Statement'!I$2</f>
        <v>0</v>
      </c>
      <c r="I8" s="45">
        <f>'Income Statement'!J7/'Income Statement'!J$2</f>
        <v>0</v>
      </c>
      <c r="J8" s="45">
        <f>'Income Statement'!K7/'Income Statement'!K$2</f>
        <v>0</v>
      </c>
      <c r="K8" s="45">
        <f>'Income Statement'!L7/'Income Statement'!L$2</f>
        <v>0</v>
      </c>
    </row>
    <row r="9" spans="1:11" ht="15.6" x14ac:dyDescent="0.3">
      <c r="A9" s="41" t="str">
        <f>'Income Statement'!A8</f>
        <v>Profit before tax</v>
      </c>
      <c r="B9" s="45">
        <f>'Income Statement'!C8/'Income Statement'!C$2</f>
        <v>3.394890027639149E-2</v>
      </c>
      <c r="C9" s="45">
        <f>'Income Statement'!D8/'Income Statement'!D$2</f>
        <v>5.5562262445184959E-2</v>
      </c>
      <c r="D9" s="45">
        <f>'Income Statement'!E8/'Income Statement'!E$2</f>
        <v>3.4617531922780366E-2</v>
      </c>
      <c r="E9" s="45">
        <f>'Income Statement'!F8/'Income Statement'!F$2</f>
        <v>4.0312858707380952E-2</v>
      </c>
      <c r="F9" s="45">
        <f>'Income Statement'!G8/'Income Statement'!G$2</f>
        <v>3.3226885409942897E-2</v>
      </c>
      <c r="G9" s="45">
        <f>'Income Statement'!H8/'Income Statement'!H$2</f>
        <v>4.9793740044383326E-2</v>
      </c>
      <c r="H9" s="45">
        <f>'Income Statement'!I8/'Income Statement'!I$2</f>
        <v>2.2769675049068176E-2</v>
      </c>
      <c r="I9" s="45">
        <f>'Income Statement'!J8/'Income Statement'!J$2</f>
        <v>2.2156302895070777E-2</v>
      </c>
      <c r="J9" s="45">
        <f>'Income Statement'!K8/'Income Statement'!K$2</f>
        <v>2.0529553429654103E-2</v>
      </c>
      <c r="K9" s="45">
        <f>'Income Statement'!L8/'Income Statement'!L$2</f>
        <v>9.6301011609963554E-3</v>
      </c>
    </row>
    <row r="10" spans="1:11" ht="15.6" x14ac:dyDescent="0.3">
      <c r="A10" s="41" t="str">
        <f>'Income Statement'!A9</f>
        <v>Tax</v>
      </c>
      <c r="B10" s="45">
        <f>'Income Statement'!C9/'Income Statement'!C$2</f>
        <v>5.0857945355175195E-3</v>
      </c>
      <c r="C10" s="45">
        <f>'Income Statement'!D9/'Income Statement'!D$2</f>
        <v>1.0536615482992522E-2</v>
      </c>
      <c r="D10" s="45">
        <f>'Income Statement'!E9/'Income Statement'!E$2</f>
        <v>5.6773000341636482E-3</v>
      </c>
      <c r="E10" s="45">
        <f>'Income Statement'!F9/'Income Statement'!F$2</f>
        <v>5.9916435032562063E-3</v>
      </c>
      <c r="F10" s="45">
        <f>'Income Statement'!G9/'Income Statement'!G$2</f>
        <v>3.3689635328356841E-4</v>
      </c>
      <c r="G10" s="45">
        <f>'Income Statement'!H9/'Income Statement'!H$2</f>
        <v>5.6333474016691393E-3</v>
      </c>
      <c r="H10" s="45">
        <f>'Income Statement'!I9/'Income Statement'!I$2</f>
        <v>3.7439867979028644E-3</v>
      </c>
      <c r="I10" s="45">
        <f>'Income Statement'!J9/'Income Statement'!J$2</f>
        <v>2.388350712140276E-3</v>
      </c>
      <c r="J10" s="45">
        <f>'Income Statement'!K9/'Income Statement'!K$2</f>
        <v>1.0404933519525381E-3</v>
      </c>
      <c r="K10" s="45">
        <f>'Income Statement'!L9/'Income Statement'!L$2</f>
        <v>-5.8808574542430266E-3</v>
      </c>
    </row>
    <row r="11" spans="1:11" ht="15.6" x14ac:dyDescent="0.3">
      <c r="A11" s="52" t="str">
        <f>'Income Statement'!A10</f>
        <v>Net profit</v>
      </c>
      <c r="B11" s="45">
        <f>'Income Statement'!C10/'Income Statement'!C$2</f>
        <v>2.8863105740873973E-2</v>
      </c>
      <c r="C11" s="45">
        <f>'Income Statement'!D10/'Income Statement'!D$2</f>
        <v>4.5025646962192439E-2</v>
      </c>
      <c r="D11" s="45">
        <f>'Income Statement'!E10/'Income Statement'!E$2</f>
        <v>2.8940231888616715E-2</v>
      </c>
      <c r="E11" s="45">
        <f>'Income Statement'!F10/'Income Statement'!F$2</f>
        <v>3.4321215204124747E-2</v>
      </c>
      <c r="F11" s="45">
        <f>'Income Statement'!G10/'Income Statement'!G$2</f>
        <v>3.2889989056659324E-2</v>
      </c>
      <c r="G11" s="45">
        <f>'Income Statement'!H10/'Income Statement'!H$2</f>
        <v>4.4160052279751123E-2</v>
      </c>
      <c r="H11" s="45">
        <f>'Income Statement'!I10/'Income Statement'!I$2</f>
        <v>1.902568825116531E-2</v>
      </c>
      <c r="I11" s="45">
        <f>'Income Statement'!J10/'Income Statement'!J$2</f>
        <v>1.9767803208958937E-2</v>
      </c>
      <c r="J11" s="45">
        <f>'Income Statement'!K10/'Income Statement'!K$2</f>
        <v>1.9489202513478698E-2</v>
      </c>
      <c r="K11" s="45">
        <f>'Income Statement'!L10/'Income Statement'!L$2</f>
        <v>1.5510958615239382E-2</v>
      </c>
    </row>
    <row r="12" spans="1:11" ht="15.6" x14ac:dyDescent="0.3">
      <c r="A12" s="41" t="str">
        <f>'Income Statement'!A11</f>
        <v>EPS</v>
      </c>
      <c r="B12" s="45">
        <f>'Income Statement'!C11/'Income Statement'!C$2</f>
        <v>1.4468447411335891E-4</v>
      </c>
      <c r="C12" s="45">
        <f>'Income Statement'!D11/'Income Statement'!D$2</f>
        <v>2.2565853236201293E-4</v>
      </c>
      <c r="D12" s="45">
        <f>'Income Statement'!E11/'Income Statement'!E$2</f>
        <v>1.4480976676815971E-4</v>
      </c>
      <c r="E12" s="45">
        <f>'Income Statement'!F11/'Income Statement'!F$2</f>
        <v>1.7060801910883706E-4</v>
      </c>
      <c r="F12" s="45">
        <f>'Income Statement'!G11/'Income Statement'!G$2</f>
        <v>1.630315706189121E-4</v>
      </c>
      <c r="G12" s="45">
        <f>'Income Statement'!H11/'Income Statement'!H$2</f>
        <v>2.1874406716738224E-4</v>
      </c>
      <c r="H12" s="45">
        <f>'Income Statement'!I11/'Income Statement'!I$2</f>
        <v>9.4144629873646945E-5</v>
      </c>
      <c r="I12" s="45">
        <f>'Income Statement'!J11/'Income Statement'!J$2</f>
        <v>9.357097041067376E-5</v>
      </c>
      <c r="J12" s="45">
        <f>'Income Statement'!K11/'Income Statement'!K$2</f>
        <v>9.0672757576433865E-5</v>
      </c>
      <c r="K12" s="45">
        <f>'Income Statement'!L11/'Income Statement'!L$2</f>
        <v>7.2113806384487334E-5</v>
      </c>
    </row>
    <row r="13" spans="1:11" ht="15.6" x14ac:dyDescent="0.3">
      <c r="A13" s="41" t="str">
        <f>'Income Statement'!A12</f>
        <v>Price to earning</v>
      </c>
      <c r="B13" s="50" t="s">
        <v>36</v>
      </c>
      <c r="C13" s="50" t="s">
        <v>36</v>
      </c>
      <c r="D13" s="50" t="s">
        <v>36</v>
      </c>
      <c r="E13" s="45">
        <f>'Income Statement'!F12/'Income Statement'!F$2</f>
        <v>2.5595276522232414E-3</v>
      </c>
      <c r="F13" s="45">
        <f>'Income Statement'!G12/'Income Statement'!G$2</f>
        <v>1.5378270588360325E-3</v>
      </c>
      <c r="G13" s="45">
        <f>'Income Statement'!H12/'Income Statement'!H$2</f>
        <v>2.3373913887262039E-3</v>
      </c>
      <c r="H13" s="45">
        <f>'Income Statement'!I12/'Income Statement'!I$2</f>
        <v>1.4453929714759849E-3</v>
      </c>
      <c r="I13" s="45">
        <f>'Income Statement'!J12/'Income Statement'!J$2</f>
        <v>1.2765074443698656E-3</v>
      </c>
      <c r="J13" s="45">
        <f>'Income Statement'!K12/'Income Statement'!K$2</f>
        <v>1.1169556561284816E-3</v>
      </c>
      <c r="K13" s="45">
        <f>'Income Statement'!L12/'Income Statement'!L$2</f>
        <v>8.5280361334050475E-4</v>
      </c>
    </row>
    <row r="14" spans="1:11" ht="15.6" x14ac:dyDescent="0.3">
      <c r="A14" s="41" t="str">
        <f>'Income Statement'!A13</f>
        <v>Price</v>
      </c>
      <c r="B14" s="50" t="s">
        <v>36</v>
      </c>
      <c r="C14" s="50" t="s">
        <v>36</v>
      </c>
      <c r="D14" s="50" t="s">
        <v>36</v>
      </c>
      <c r="E14" s="45">
        <f>'Income Statement'!F13/'Income Statement'!F$2</f>
        <v>1.4087135340963232E-2</v>
      </c>
      <c r="F14" s="45">
        <f>'Income Statement'!G13/'Income Statement'!G$2</f>
        <v>9.7414262580466492E-3</v>
      </c>
      <c r="G14" s="45">
        <f>'Income Statement'!H13/'Income Statement'!H$2</f>
        <v>1.5021919374821309E-2</v>
      </c>
      <c r="H14" s="45">
        <f>'Income Statement'!I13/'Income Statement'!I$2</f>
        <v>9.7332472318893727E-3</v>
      </c>
      <c r="I14" s="45">
        <f>'Income Statement'!J13/'Income Statement'!J$2</f>
        <v>8.0177791496625298E-3</v>
      </c>
      <c r="J14" s="45">
        <f>'Income Statement'!K13/'Income Statement'!K$2</f>
        <v>7.1103939944518416E-3</v>
      </c>
      <c r="K14" s="45">
        <f>'Income Statement'!L13/'Income Statement'!L$2</f>
        <v>6.2410205573807326E-3</v>
      </c>
    </row>
    <row r="17" spans="1:11" ht="18" x14ac:dyDescent="0.35">
      <c r="A17" s="72" t="str">
        <f>CONCATENATE("Common Size Balance Sheet Statement of ",'Basic Info'!B1," [",'Basic Info'!B2,"]"," (",'Basic Info'!B3,")")</f>
        <v>Common Size Balance Sheet Statement of HDFC Life Insurance Company Ltd. [HDFCLIFE] (2014-15 to 2023-24)</v>
      </c>
      <c r="B17" s="73"/>
      <c r="C17" s="73"/>
      <c r="D17" s="73"/>
      <c r="E17" s="73"/>
      <c r="F17" s="73"/>
      <c r="G17" s="73"/>
      <c r="H17" s="73"/>
      <c r="I17" s="73"/>
      <c r="J17" s="73"/>
      <c r="K17" s="74"/>
    </row>
    <row r="18" spans="1:11" ht="15.6" x14ac:dyDescent="0.3">
      <c r="A18" s="40" t="str">
        <f>'Balance Sheet'!A1</f>
        <v>Narration</v>
      </c>
      <c r="B18" s="40">
        <f>'Balance Sheet'!C1</f>
        <v>42094</v>
      </c>
      <c r="C18" s="40">
        <f>'Balance Sheet'!D1</f>
        <v>42460</v>
      </c>
      <c r="D18" s="40">
        <f>'Balance Sheet'!E1</f>
        <v>42825</v>
      </c>
      <c r="E18" s="40">
        <f>'Balance Sheet'!F1</f>
        <v>43190</v>
      </c>
      <c r="F18" s="40">
        <f>'Balance Sheet'!G1</f>
        <v>43555</v>
      </c>
      <c r="G18" s="40">
        <f>'Balance Sheet'!H1</f>
        <v>43921</v>
      </c>
      <c r="H18" s="40">
        <f>'Balance Sheet'!I1</f>
        <v>44286</v>
      </c>
      <c r="I18" s="40">
        <f>'Balance Sheet'!J1</f>
        <v>44651</v>
      </c>
      <c r="J18" s="40">
        <f>'Balance Sheet'!K1</f>
        <v>45016</v>
      </c>
      <c r="K18" s="40">
        <f>'Balance Sheet'!L1</f>
        <v>45382</v>
      </c>
    </row>
    <row r="19" spans="1:11" ht="15.6" x14ac:dyDescent="0.3">
      <c r="A19" s="41" t="str">
        <f>'Balance Sheet'!A2</f>
        <v>Equity Share Capital</v>
      </c>
      <c r="B19" s="45">
        <f>'Balance Sheet'!C2/'Balance Sheet'!C$6</f>
        <v>2.8782608545096618E-2</v>
      </c>
      <c r="C19" s="45">
        <f>'Balance Sheet'!D2/'Balance Sheet'!D$6</f>
        <v>2.6067099896818026E-2</v>
      </c>
      <c r="D19" s="45">
        <f>'Balance Sheet'!E2/'Balance Sheet'!E$6</f>
        <v>2.101526900497042E-2</v>
      </c>
      <c r="E19" s="45">
        <f>'Balance Sheet'!F2/'Balance Sheet'!F$6</f>
        <v>1.8208622842899917E-2</v>
      </c>
      <c r="F19" s="45">
        <f>'Balance Sheet'!G2/'Balance Sheet'!G$6</f>
        <v>1.5515871700450722E-2</v>
      </c>
      <c r="G19" s="45">
        <f>'Balance Sheet'!H2/'Balance Sheet'!H$6</f>
        <v>1.5268047330341688E-2</v>
      </c>
      <c r="H19" s="45">
        <f>'Balance Sheet'!I2/'Balance Sheet'!I$6</f>
        <v>1.1249002532854074E-2</v>
      </c>
      <c r="I19" s="45">
        <f>'Balance Sheet'!J2/'Balance Sheet'!J$6</f>
        <v>9.1560666385102005E-3</v>
      </c>
      <c r="J19" s="45">
        <f>'Balance Sheet'!K2/'Balance Sheet'!K$6</f>
        <v>8.6645160575121675E-3</v>
      </c>
      <c r="K19" s="45">
        <f>'Balance Sheet'!L2/'Balance Sheet'!L$6</f>
        <v>7.1061537340807064E-3</v>
      </c>
    </row>
    <row r="20" spans="1:11" ht="15.6" x14ac:dyDescent="0.3">
      <c r="A20" s="41" t="str">
        <f>'Balance Sheet'!A3</f>
        <v>Reserves</v>
      </c>
      <c r="B20" s="45">
        <f>'Balance Sheet'!C3/'Balance Sheet'!C$6</f>
        <v>7.8835906465756292E-3</v>
      </c>
      <c r="C20" s="45">
        <f>'Balance Sheet'!D3/'Balance Sheet'!D$6</f>
        <v>1.4477875449510466E-2</v>
      </c>
      <c r="D20" s="45">
        <f>'Balance Sheet'!E3/'Balance Sheet'!E$6</f>
        <v>1.9220882519737567E-2</v>
      </c>
      <c r="E20" s="45">
        <f>'Balance Sheet'!F3/'Balance Sheet'!F$6</f>
        <v>2.4378179340462162E-2</v>
      </c>
      <c r="F20" s="45">
        <f>'Balance Sheet'!G3/'Balance Sheet'!G$6</f>
        <v>2.7881930229261696E-2</v>
      </c>
      <c r="G20" s="45">
        <f>'Balance Sheet'!H3/'Balance Sheet'!H$6</f>
        <v>3.6209957583295295E-2</v>
      </c>
      <c r="H20" s="45">
        <f>'Balance Sheet'!I3/'Balance Sheet'!I$6</f>
        <v>3.6841994524617845E-2</v>
      </c>
      <c r="I20" s="45">
        <f>'Balance Sheet'!J3/'Balance Sheet'!J$6</f>
        <v>5.8511895384499357E-2</v>
      </c>
      <c r="J20" s="45">
        <f>'Balance Sheet'!K3/'Balance Sheet'!K$6</f>
        <v>4.371255203940029E-2</v>
      </c>
      <c r="K20" s="45">
        <f>'Balance Sheet'!L3/'Balance Sheet'!L$6</f>
        <v>4.1347702634685769E-2</v>
      </c>
    </row>
    <row r="21" spans="1:11" ht="15.6" x14ac:dyDescent="0.3">
      <c r="A21" s="41" t="str">
        <f>'Balance Sheet'!A4</f>
        <v>Borrowings</v>
      </c>
      <c r="B21" s="45">
        <f>'Balance Sheet'!C4/'Balance Sheet'!C$6</f>
        <v>0</v>
      </c>
      <c r="C21" s="45">
        <f>'Balance Sheet'!D4/'Balance Sheet'!D$6</f>
        <v>0</v>
      </c>
      <c r="D21" s="45">
        <f>'Balance Sheet'!E4/'Balance Sheet'!E$6</f>
        <v>0</v>
      </c>
      <c r="E21" s="45">
        <f>'Balance Sheet'!F4/'Balance Sheet'!F$6</f>
        <v>0</v>
      </c>
      <c r="F21" s="45">
        <f>'Balance Sheet'!G4/'Balance Sheet'!G$6</f>
        <v>0</v>
      </c>
      <c r="G21" s="45">
        <f>'Balance Sheet'!H4/'Balance Sheet'!H$6</f>
        <v>0</v>
      </c>
      <c r="H21" s="45">
        <f>'Balance Sheet'!I4/'Balance Sheet'!I$6</f>
        <v>3.3397337475196908E-3</v>
      </c>
      <c r="I21" s="45">
        <f>'Balance Sheet'!J4/'Balance Sheet'!J$6</f>
        <v>2.6003919224025715E-3</v>
      </c>
      <c r="J21" s="45">
        <f>'Balance Sheet'!K4/'Balance Sheet'!K$6</f>
        <v>3.8295758140116116E-3</v>
      </c>
      <c r="K21" s="45">
        <f>'Balance Sheet'!L4/'Balance Sheet'!L$6</f>
        <v>3.1385561881673457E-3</v>
      </c>
    </row>
    <row r="22" spans="1:11" ht="15.6" x14ac:dyDescent="0.3">
      <c r="A22" s="41" t="str">
        <f>'Balance Sheet'!A5</f>
        <v>Other Liabilities</v>
      </c>
      <c r="B22" s="46">
        <f>'Balance Sheet'!C5/'Balance Sheet'!C$6</f>
        <v>0.96333380080832776</v>
      </c>
      <c r="C22" s="46">
        <f>'Balance Sheet'!D5/'Balance Sheet'!D$6</f>
        <v>0.95945502465367138</v>
      </c>
      <c r="D22" s="46">
        <f>'Balance Sheet'!E5/'Balance Sheet'!E$6</f>
        <v>0.95976384847529195</v>
      </c>
      <c r="E22" s="46">
        <f>'Balance Sheet'!F5/'Balance Sheet'!F$6</f>
        <v>0.95741319781663792</v>
      </c>
      <c r="F22" s="46">
        <f>'Balance Sheet'!G5/'Balance Sheet'!G$6</f>
        <v>0.95660219807028757</v>
      </c>
      <c r="G22" s="46">
        <f>'Balance Sheet'!H5/'Balance Sheet'!H$6</f>
        <v>0.94852199508636292</v>
      </c>
      <c r="H22" s="46">
        <f>'Balance Sheet'!I5/'Balance Sheet'!I$6</f>
        <v>0.94856926919500839</v>
      </c>
      <c r="I22" s="46">
        <f>'Balance Sheet'!J5/'Balance Sheet'!J$6</f>
        <v>0.9297316460545878</v>
      </c>
      <c r="J22" s="46">
        <f>'Balance Sheet'!K5/'Balance Sheet'!K$6</f>
        <v>0.94379335608907589</v>
      </c>
      <c r="K22" s="46">
        <f>'Balance Sheet'!L5/'Balance Sheet'!L$6</f>
        <v>0.94840758744306608</v>
      </c>
    </row>
    <row r="23" spans="1:11" ht="15.6" x14ac:dyDescent="0.3">
      <c r="A23" s="52" t="str">
        <f>'Balance Sheet'!A6</f>
        <v>Total Liabilities</v>
      </c>
      <c r="B23" s="51">
        <f>'Balance Sheet'!C6/'Balance Sheet'!C$6</f>
        <v>1</v>
      </c>
      <c r="C23" s="51">
        <f>'Balance Sheet'!D6/'Balance Sheet'!D$6</f>
        <v>1</v>
      </c>
      <c r="D23" s="51">
        <f>'Balance Sheet'!E6/'Balance Sheet'!E$6</f>
        <v>1</v>
      </c>
      <c r="E23" s="51">
        <f>'Balance Sheet'!F6/'Balance Sheet'!F$6</f>
        <v>1</v>
      </c>
      <c r="F23" s="51">
        <f>'Balance Sheet'!G6/'Balance Sheet'!G$6</f>
        <v>1</v>
      </c>
      <c r="G23" s="51">
        <f>'Balance Sheet'!H6/'Balance Sheet'!H$6</f>
        <v>1</v>
      </c>
      <c r="H23" s="51">
        <f>'Balance Sheet'!I6/'Balance Sheet'!I$6</f>
        <v>1</v>
      </c>
      <c r="I23" s="51">
        <f>'Balance Sheet'!J6/'Balance Sheet'!J$6</f>
        <v>1</v>
      </c>
      <c r="J23" s="51">
        <f>'Balance Sheet'!K6/'Balance Sheet'!K$6</f>
        <v>1</v>
      </c>
      <c r="K23" s="51">
        <f>'Balance Sheet'!L6/'Balance Sheet'!L$6</f>
        <v>1</v>
      </c>
    </row>
    <row r="24" spans="1:11" ht="15.6" x14ac:dyDescent="0.3">
      <c r="A24" s="41" t="str">
        <f>'Balance Sheet'!A8</f>
        <v>Net Block</v>
      </c>
      <c r="B24" s="45">
        <f>'Balance Sheet'!C8/'Balance Sheet'!C$12</f>
        <v>4.9926040838846357E-3</v>
      </c>
      <c r="C24" s="45">
        <f>'Balance Sheet'!D8/'Balance Sheet'!D$12</f>
        <v>4.3791588618263023E-3</v>
      </c>
      <c r="D24" s="45">
        <f>'Balance Sheet'!E8/'Balance Sheet'!E$12</f>
        <v>3.5476568713256429E-3</v>
      </c>
      <c r="E24" s="45">
        <f>'Balance Sheet'!F8/'Balance Sheet'!F$12</f>
        <v>3.0449983083342732E-3</v>
      </c>
      <c r="F24" s="45">
        <f>'Balance Sheet'!G8/'Balance Sheet'!G$12</f>
        <v>2.8469376461741662E-3</v>
      </c>
      <c r="G24" s="45">
        <f>'Balance Sheet'!H8/'Balance Sheet'!H$12</f>
        <v>2.437533016925464E-3</v>
      </c>
      <c r="H24" s="45">
        <f>'Balance Sheet'!I8/'Balance Sheet'!I$12</f>
        <v>3.2544592124996879E-3</v>
      </c>
      <c r="I24" s="45">
        <f>'Balance Sheet'!J8/'Balance Sheet'!J$12</f>
        <v>2.8627021235883933E-2</v>
      </c>
      <c r="J24" s="45">
        <f>'Balance Sheet'!K8/'Balance Sheet'!K$12</f>
        <v>4.0198452649814519E-3</v>
      </c>
      <c r="K24" s="45">
        <f>'Balance Sheet'!L8/'Balance Sheet'!L$12</f>
        <v>5.1174654209571969E-3</v>
      </c>
    </row>
    <row r="25" spans="1:11" ht="15.6" x14ac:dyDescent="0.3">
      <c r="A25" s="41" t="str">
        <f>'Balance Sheet'!A9</f>
        <v>Capital Work in Progress</v>
      </c>
      <c r="B25" s="45">
        <f>'Balance Sheet'!C9/'Balance Sheet'!C$12</f>
        <v>9.291786926051805E-5</v>
      </c>
      <c r="C25" s="45">
        <f>'Balance Sheet'!D9/'Balance Sheet'!D$12</f>
        <v>1.5886208758892552E-4</v>
      </c>
      <c r="D25" s="45">
        <f>'Balance Sheet'!E9/'Balance Sheet'!E$12</f>
        <v>1.6919642843059426E-4</v>
      </c>
      <c r="E25" s="45">
        <f>'Balance Sheet'!F9/'Balance Sheet'!F$12</f>
        <v>4.7790235622153741E-5</v>
      </c>
      <c r="F25" s="45">
        <f>'Balance Sheet'!G9/'Balance Sheet'!G$12</f>
        <v>7.8372310931799081E-5</v>
      </c>
      <c r="G25" s="45">
        <f>'Balance Sheet'!H9/'Balance Sheet'!H$12</f>
        <v>6.3604258989584711E-5</v>
      </c>
      <c r="H25" s="45">
        <f>'Balance Sheet'!I9/'Balance Sheet'!I$12</f>
        <v>7.9263014274467326E-5</v>
      </c>
      <c r="I25" s="45">
        <f>'Balance Sheet'!J9/'Balance Sheet'!J$12</f>
        <v>8.5812933439284863E-5</v>
      </c>
      <c r="J25" s="45">
        <f>'Balance Sheet'!K9/'Balance Sheet'!K$12</f>
        <v>1.2411856769833424E-4</v>
      </c>
      <c r="K25" s="45">
        <f>'Balance Sheet'!L9/'Balance Sheet'!L$12</f>
        <v>9.14145786595689E-5</v>
      </c>
    </row>
    <row r="26" spans="1:11" ht="15.6" x14ac:dyDescent="0.3">
      <c r="A26" s="41" t="str">
        <f>'Balance Sheet'!A10</f>
        <v>Investments</v>
      </c>
      <c r="B26" s="46">
        <f>'Balance Sheet'!C10/'Balance Sheet'!C$12</f>
        <v>0.96703204743082083</v>
      </c>
      <c r="C26" s="46">
        <f>'Balance Sheet'!D10/'Balance Sheet'!D$12</f>
        <v>0.96863649558595921</v>
      </c>
      <c r="D26" s="46">
        <f>'Balance Sheet'!E10/'Balance Sheet'!E$12</f>
        <v>0.96452932003751546</v>
      </c>
      <c r="E26" s="46">
        <f>'Balance Sheet'!F10/'Balance Sheet'!F$12</f>
        <v>0.96476429548051001</v>
      </c>
      <c r="F26" s="46">
        <f>'Balance Sheet'!G10/'Balance Sheet'!G$12</f>
        <v>0.9610642667562731</v>
      </c>
      <c r="G26" s="46">
        <f>'Balance Sheet'!H10/'Balance Sheet'!H$12</f>
        <v>0.96242629449981987</v>
      </c>
      <c r="H26" s="46">
        <f>'Balance Sheet'!I10/'Balance Sheet'!I$12</f>
        <v>0.96609352011499372</v>
      </c>
      <c r="I26" s="46">
        <f>'Balance Sheet'!J10/'Balance Sheet'!J$12</f>
        <v>0.93852755841184532</v>
      </c>
      <c r="J26" s="46">
        <f>'Balance Sheet'!K10/'Balance Sheet'!K$12</f>
        <v>0.96020405592390035</v>
      </c>
      <c r="K26" s="46">
        <f>'Balance Sheet'!L10/'Balance Sheet'!L$12</f>
        <v>0.96181196447352613</v>
      </c>
    </row>
    <row r="27" spans="1:11" ht="15.6" x14ac:dyDescent="0.3">
      <c r="A27" s="41" t="str">
        <f>'Balance Sheet'!A11</f>
        <v>Other Assets</v>
      </c>
      <c r="B27" s="45">
        <f>'Balance Sheet'!C11/'Balance Sheet'!C$12</f>
        <v>2.7882430616033928E-2</v>
      </c>
      <c r="C27" s="45">
        <f>'Balance Sheet'!D11/'Balance Sheet'!D$12</f>
        <v>2.682548346462536E-2</v>
      </c>
      <c r="D27" s="45">
        <f>'Balance Sheet'!E11/'Balance Sheet'!E$12</f>
        <v>3.1753826662728211E-2</v>
      </c>
      <c r="E27" s="45">
        <f>'Balance Sheet'!F11/'Balance Sheet'!F$12</f>
        <v>3.2142915975533565E-2</v>
      </c>
      <c r="F27" s="45">
        <f>'Balance Sheet'!G11/'Balance Sheet'!G$12</f>
        <v>3.6010423286620921E-2</v>
      </c>
      <c r="G27" s="45">
        <f>'Balance Sheet'!H11/'Balance Sheet'!H$12</f>
        <v>3.507256822426514E-2</v>
      </c>
      <c r="H27" s="45">
        <f>'Balance Sheet'!I11/'Balance Sheet'!I$12</f>
        <v>3.0572757658232131E-2</v>
      </c>
      <c r="I27" s="45">
        <f>'Balance Sheet'!J11/'Balance Sheet'!J$12</f>
        <v>3.2759607418831473E-2</v>
      </c>
      <c r="J27" s="45">
        <f>'Balance Sheet'!K11/'Balance Sheet'!K$12</f>
        <v>3.565198024341993E-2</v>
      </c>
      <c r="K27" s="45">
        <f>'Balance Sheet'!L11/'Balance Sheet'!L$12</f>
        <v>3.297915552685704E-2</v>
      </c>
    </row>
    <row r="28" spans="1:11" ht="15.6" x14ac:dyDescent="0.3">
      <c r="A28" s="52" t="str">
        <f>'Balance Sheet'!A12</f>
        <v>Total Assets</v>
      </c>
      <c r="B28" s="51">
        <f>'Balance Sheet'!C12/'Balance Sheet'!C$12</f>
        <v>1</v>
      </c>
      <c r="C28" s="51">
        <f>'Balance Sheet'!D12/'Balance Sheet'!D$12</f>
        <v>1</v>
      </c>
      <c r="D28" s="51">
        <f>'Balance Sheet'!E12/'Balance Sheet'!E$12</f>
        <v>1</v>
      </c>
      <c r="E28" s="51">
        <f>'Balance Sheet'!F12/'Balance Sheet'!F$12</f>
        <v>1</v>
      </c>
      <c r="F28" s="51">
        <f>'Balance Sheet'!G12/'Balance Sheet'!G$12</f>
        <v>1</v>
      </c>
      <c r="G28" s="51">
        <f>'Balance Sheet'!H12/'Balance Sheet'!H$12</f>
        <v>1</v>
      </c>
      <c r="H28" s="51">
        <f>'Balance Sheet'!I12/'Balance Sheet'!I$12</f>
        <v>1</v>
      </c>
      <c r="I28" s="51">
        <f>'Balance Sheet'!J12/'Balance Sheet'!J$12</f>
        <v>1</v>
      </c>
      <c r="J28" s="51">
        <f>'Balance Sheet'!K12/'Balance Sheet'!K$12</f>
        <v>1</v>
      </c>
      <c r="K28" s="51">
        <f>'Balance Sheet'!L12/'Balance Sheet'!L$12</f>
        <v>1</v>
      </c>
    </row>
  </sheetData>
  <mergeCells count="2">
    <mergeCell ref="A1:K1"/>
    <mergeCell ref="A17:K17"/>
  </mergeCells>
  <conditionalFormatting sqref="B11:K11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{5C64CF37-07C3-41E4-8AF3-D01C4CD53AE9}</x14:id>
        </ext>
      </extLst>
    </cfRule>
  </conditionalFormatting>
  <conditionalFormatting sqref="B19:K20">
    <cfRule type="iconSet" priority="5">
      <iconSet iconSet="5ArrowsGray">
        <cfvo type="percent" val="0"/>
        <cfvo type="percent" val="20"/>
        <cfvo type="percent" val="40"/>
        <cfvo type="percent" val="60"/>
        <cfvo type="percent" val="80"/>
      </iconSet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K28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B23:K23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B5:K5">
    <cfRule type="iconSet" priority="1">
      <iconSet iconSet="3Signs">
        <cfvo type="percent" val="0"/>
        <cfvo type="percent" val="33"/>
        <cfvo type="percent" val="67"/>
      </iconSet>
    </cfRule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{9A45C421-A7BF-48DD-9BCA-CCAE2B92AF70}</x14:id>
        </ext>
      </extLst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8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64CF37-07C3-41E4-8AF3-D01C4CD53A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B11:K11</xm:sqref>
        </x14:conditionalFormatting>
        <x14:conditionalFormatting xmlns:xm="http://schemas.microsoft.com/office/excel/2006/main">
          <x14:cfRule type="dataBar" id="{9A45C421-A7BF-48DD-9BCA-CCAE2B92AF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B5:K5</xm:sqref>
        </x14:conditionalFormatting>
        <x14:conditionalFormatting xmlns:xm="http://schemas.microsoft.com/office/excel/2006/main">
          <x14:cfRule type="iconSet" priority="7" id="{AEF6B1D8-FF74-46B4-A084-DAB63A59BBE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B11:K11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K28"/>
  <sheetViews>
    <sheetView showGridLines="0" zoomScaleNormal="100" workbookViewId="0">
      <selection activeCell="M3" sqref="M3"/>
    </sheetView>
  </sheetViews>
  <sheetFormatPr defaultRowHeight="14.4" x14ac:dyDescent="0.3"/>
  <cols>
    <col min="1" max="1" width="24.109375" customWidth="1"/>
    <col min="2" max="10" width="8.33203125" bestFit="1" customWidth="1"/>
    <col min="11" max="11" width="16" customWidth="1"/>
  </cols>
  <sheetData>
    <row r="1" spans="1:11" ht="18" x14ac:dyDescent="0.35">
      <c r="A1" s="75" t="str">
        <f>CONCATENATE("Income Statement Trend Analysis of ",'Basic Info'!B1," [", 'Basic Info'!B2,"]"," (",'Basic Info'!B3,")")</f>
        <v>Income Statement Trend Analysis of HDFC Life Insurance Company Ltd. [HDFCLIFE] (2014-15 to 2023-24)</v>
      </c>
      <c r="B1" s="76"/>
      <c r="C1" s="76"/>
      <c r="D1" s="76"/>
      <c r="E1" s="76"/>
      <c r="F1" s="76"/>
      <c r="G1" s="76"/>
      <c r="H1" s="76"/>
      <c r="I1" s="76"/>
      <c r="J1" s="76"/>
      <c r="K1" s="77"/>
    </row>
    <row r="2" spans="1:11" ht="15.6" x14ac:dyDescent="0.3">
      <c r="A2" s="40" t="str">
        <f>'Income Statement'!A1</f>
        <v>Narration</v>
      </c>
      <c r="B2" s="40" t="str">
        <f>'Income Statement'!C1</f>
        <v>Mar-15</v>
      </c>
      <c r="C2" s="40" t="str">
        <f>'Income Statement'!D1</f>
        <v>Mar-16</v>
      </c>
      <c r="D2" s="40" t="str">
        <f>'Income Statement'!E1</f>
        <v>Mar-17</v>
      </c>
      <c r="E2" s="40" t="str">
        <f>'Income Statement'!F1</f>
        <v>Mar-18</v>
      </c>
      <c r="F2" s="40" t="str">
        <f>'Income Statement'!G1</f>
        <v>Mar-19</v>
      </c>
      <c r="G2" s="40" t="str">
        <f>'Income Statement'!H1</f>
        <v>Mar-20</v>
      </c>
      <c r="H2" s="40" t="str">
        <f>'Income Statement'!I1</f>
        <v>Mar-21</v>
      </c>
      <c r="I2" s="40" t="str">
        <f>'Income Statement'!J1</f>
        <v>Mar-22</v>
      </c>
      <c r="J2" s="40" t="str">
        <f>'Income Statement'!K1</f>
        <v>Mar-23</v>
      </c>
      <c r="K2" s="40" t="str">
        <f>'Income Statement'!L1</f>
        <v>Mar-24</v>
      </c>
    </row>
    <row r="3" spans="1:11" ht="15.6" x14ac:dyDescent="0.3">
      <c r="A3" s="41" t="str">
        <f>'Income Statement'!A2</f>
        <v>Sales</v>
      </c>
      <c r="B3" s="46">
        <f>'Income Statement'!C2/'Income Statement'!$C2</f>
        <v>1</v>
      </c>
      <c r="C3" s="46">
        <f>'Income Statement'!D2/'Income Statement'!$C2</f>
        <v>0.66656390478493122</v>
      </c>
      <c r="D3" s="46">
        <f>'Income Statement'!E2/'Income Statement'!$C2</f>
        <v>1.1260917684425733</v>
      </c>
      <c r="E3" s="46">
        <f>'Income Statement'!F2/'Income Statement'!$C2</f>
        <v>1.1853722686957422</v>
      </c>
      <c r="F3" s="46">
        <f>'Income Statement'!G2/'Income Statement'!$C2</f>
        <v>1.4276925021550599</v>
      </c>
      <c r="G3" s="46">
        <f>'Income Statement'!H2/'Income Statement'!$C2</f>
        <v>1.0795656222189072</v>
      </c>
      <c r="H3" s="46">
        <f>'Income Statement'!I2/'Income Statement'!$C2</f>
        <v>2.6282556470654805</v>
      </c>
      <c r="I3" s="46">
        <f>'Income Statement'!J2/'Income Statement'!$C2</f>
        <v>2.4664990141473351</v>
      </c>
      <c r="J3" s="46">
        <f>'Income Statement'!K2/'Income Statement'!$C2</f>
        <v>2.5797181115428174</v>
      </c>
      <c r="K3" s="46">
        <f>'Income Statement'!L2/'Income Statement'!$C2</f>
        <v>3.7288894147423006</v>
      </c>
    </row>
    <row r="4" spans="1:11" ht="15.6" x14ac:dyDescent="0.3">
      <c r="A4" s="41" t="str">
        <f>'Income Statement'!A3</f>
        <v>Expenses</v>
      </c>
      <c r="B4" s="46">
        <f>'Income Statement'!C3/'Income Statement'!$C3</f>
        <v>1</v>
      </c>
      <c r="C4" s="46">
        <f>'Income Statement'!D3/'Income Statement'!$C3</f>
        <v>0.65248227219596211</v>
      </c>
      <c r="D4" s="46">
        <f>'Income Statement'!E3/'Income Statement'!$C3</f>
        <v>1.1265305285711951</v>
      </c>
      <c r="E4" s="46">
        <f>'Income Statement'!F3/'Income Statement'!$C3</f>
        <v>1.183912086643871</v>
      </c>
      <c r="F4" s="46">
        <f>'Income Statement'!G3/'Income Statement'!$C3</f>
        <v>1.4289348436054439</v>
      </c>
      <c r="G4" s="46">
        <f>'Income Statement'!H3/'Income Statement'!$C3</f>
        <v>1.072055423043355</v>
      </c>
      <c r="H4" s="46">
        <f>'Income Statement'!I3/'Income Statement'!$C3</f>
        <v>2.6685577336655348</v>
      </c>
      <c r="I4" s="46">
        <f>'Income Statement'!J3/'Income Statement'!$C3</f>
        <v>2.518776343997033</v>
      </c>
      <c r="J4" s="46">
        <f>'Income Statement'!K3/'Income Statement'!$C3</f>
        <v>2.6622418179146958</v>
      </c>
      <c r="K4" s="46">
        <f>'Income Statement'!L3/'Income Statement'!$C3</f>
        <v>3.8323938106531199</v>
      </c>
    </row>
    <row r="5" spans="1:11" ht="15.6" x14ac:dyDescent="0.3">
      <c r="A5" s="53" t="str">
        <f>'Income Statement'!A4</f>
        <v>Operating Profit</v>
      </c>
      <c r="B5" s="46">
        <f>'Income Statement'!C4/'Income Statement'!$C4</f>
        <v>1</v>
      </c>
      <c r="C5" s="46">
        <f>'Income Statement'!D4/'Income Statement'!$C4</f>
        <v>1.0911484266794924</v>
      </c>
      <c r="D5" s="46">
        <f>'Income Statement'!E4/'Income Statement'!$C4</f>
        <v>1.112862424596232</v>
      </c>
      <c r="E5" s="46">
        <f>'Income Statement'!F4/'Income Statement'!$C4</f>
        <v>1.2293991735631795</v>
      </c>
      <c r="F5" s="46">
        <f>'Income Statement'!G4/'Income Statement'!$C4</f>
        <v>1.3902338518594821</v>
      </c>
      <c r="G5" s="46">
        <f>'Income Statement'!H4/'Income Statement'!$C4</f>
        <v>1.3060105536668853</v>
      </c>
      <c r="H5" s="46">
        <f>'Income Statement'!I4/'Income Statement'!$C4</f>
        <v>1.413081052619545</v>
      </c>
      <c r="I5" s="46">
        <f>'Income Statement'!J4/'Income Statement'!$C4</f>
        <v>0.89025102159953562</v>
      </c>
      <c r="J5" s="46">
        <f>'Income Statement'!K4/'Income Statement'!$C4</f>
        <v>9.1491821480498392E-2</v>
      </c>
      <c r="K5" s="46">
        <f>'Income Statement'!L4/'Income Statement'!$C4</f>
        <v>0.60806062062887345</v>
      </c>
    </row>
    <row r="6" spans="1:11" ht="15.6" x14ac:dyDescent="0.3">
      <c r="A6" s="41" t="str">
        <f>'Income Statement'!A5</f>
        <v>Other Income</v>
      </c>
      <c r="B6" s="46">
        <f>'Income Statement'!C5/'Income Statement'!$C5</f>
        <v>1</v>
      </c>
      <c r="C6" s="46">
        <f>'Income Statement'!D5/'Income Statement'!$C5</f>
        <v>1.364592573818274</v>
      </c>
      <c r="D6" s="46">
        <f>'Income Statement'!E5/'Income Statement'!$C5</f>
        <v>1.7612469902420478</v>
      </c>
      <c r="E6" s="46">
        <f>'Income Statement'!F5/'Income Statement'!$C5</f>
        <v>3.5693828412115072</v>
      </c>
      <c r="F6" s="46">
        <f>'Income Statement'!G5/'Income Statement'!$C5</f>
        <v>1.7190470155873783</v>
      </c>
      <c r="G6" s="46">
        <f>'Income Statement'!H5/'Income Statement'!$C5</f>
        <v>4.6706374350525914</v>
      </c>
      <c r="H6" s="46">
        <f>'Income Statement'!I5/'Income Statement'!$C5</f>
        <v>5.6399695856038532</v>
      </c>
      <c r="I6" s="46">
        <f>'Income Statement'!J5/'Income Statement'!$C5</f>
        <v>9.704473450766697</v>
      </c>
      <c r="J6" s="46">
        <f>'Income Statement'!K5/'Income Statement'!$C5</f>
        <v>18.214674946141173</v>
      </c>
      <c r="K6" s="46">
        <f>'Income Statement'!L5/'Income Statement'!$C5</f>
        <v>6.6507413509060953</v>
      </c>
    </row>
    <row r="7" spans="1:11" ht="15.6" x14ac:dyDescent="0.3">
      <c r="A7" s="41" t="str">
        <f>'Income Statement'!A6</f>
        <v>Depreciation</v>
      </c>
      <c r="B7" s="46">
        <f>'Income Statement'!C6/'Income Statement'!$C6</f>
        <v>1</v>
      </c>
      <c r="C7" s="46">
        <f>'Income Statement'!D6/'Income Statement'!$C6</f>
        <v>1.0512640449438202</v>
      </c>
      <c r="D7" s="46">
        <f>'Income Statement'!E6/'Income Statement'!$C6</f>
        <v>0.96535580524344577</v>
      </c>
      <c r="E7" s="46">
        <f>'Income Statement'!F6/'Income Statement'!$C6</f>
        <v>1.0404962546816481</v>
      </c>
      <c r="F7" s="46">
        <f>'Income Statement'!G6/'Income Statement'!$C6</f>
        <v>1.0589887640449438</v>
      </c>
      <c r="G7" s="46">
        <f>'Income Statement'!H6/'Income Statement'!$C6</f>
        <v>1.0901217228464419</v>
      </c>
      <c r="H7" s="46">
        <f>'Income Statement'!I6/'Income Statement'!$C6</f>
        <v>1.1912453183520599</v>
      </c>
      <c r="I7" s="46">
        <f>'Income Statement'!J6/'Income Statement'!$C6</f>
        <v>1.3171816479400751</v>
      </c>
      <c r="J7" s="46">
        <f>'Income Statement'!K6/'Income Statement'!$C6</f>
        <v>1.7773876404494384</v>
      </c>
      <c r="K7" s="46">
        <f>'Income Statement'!L6/'Income Statement'!$C6</f>
        <v>1.8433988764044944</v>
      </c>
    </row>
    <row r="8" spans="1:11" ht="15.6" x14ac:dyDescent="0.3">
      <c r="A8" s="41" t="str">
        <f>'Income Statement'!A7</f>
        <v>Interest</v>
      </c>
      <c r="B8" s="46">
        <f>'Income Statement'!C7/'Income Statement'!$C7</f>
        <v>1</v>
      </c>
      <c r="C8" s="46">
        <f>'Income Statement'!D7/'Income Statement'!$C7</f>
        <v>-0.57446808510638292</v>
      </c>
      <c r="D8" s="46">
        <f>'Income Statement'!E7/'Income Statement'!$C7</f>
        <v>-0.64255319148936174</v>
      </c>
      <c r="E8" s="46">
        <f>'Income Statement'!F7/'Income Statement'!$C7</f>
        <v>-0.76312056737588652</v>
      </c>
      <c r="F8" s="46">
        <f>'Income Statement'!G7/'Income Statement'!$C7</f>
        <v>-0.98865248226950353</v>
      </c>
      <c r="G8" s="46">
        <f>'Income Statement'!H7/'Income Statement'!$C7</f>
        <v>0</v>
      </c>
      <c r="H8" s="46">
        <f>'Income Statement'!I7/'Income Statement'!$C7</f>
        <v>0</v>
      </c>
      <c r="I8" s="46">
        <f>'Income Statement'!J7/'Income Statement'!$C7</f>
        <v>0</v>
      </c>
      <c r="J8" s="46">
        <f>'Income Statement'!K7/'Income Statement'!$C7</f>
        <v>0</v>
      </c>
      <c r="K8" s="46">
        <f>'Income Statement'!L7/'Income Statement'!$C7</f>
        <v>0</v>
      </c>
    </row>
    <row r="9" spans="1:11" ht="15.6" x14ac:dyDescent="0.3">
      <c r="A9" s="41" t="str">
        <f>'Income Statement'!A8</f>
        <v>Profit before tax</v>
      </c>
      <c r="B9" s="46">
        <f>'Income Statement'!C8/'Income Statement'!$C8</f>
        <v>1</v>
      </c>
      <c r="C9" s="46">
        <f>'Income Statement'!D8/'Income Statement'!$C8</f>
        <v>1.090927785955494</v>
      </c>
      <c r="D9" s="46">
        <f>'Income Statement'!E8/'Income Statement'!$C8</f>
        <v>1.1482704130227728</v>
      </c>
      <c r="E9" s="46">
        <f>'Income Statement'!F8/'Income Statement'!$C8</f>
        <v>1.4075785782318817</v>
      </c>
      <c r="F9" s="46">
        <f>'Income Statement'!G8/'Income Statement'!$C8</f>
        <v>1.3973287730539441</v>
      </c>
      <c r="G9" s="46">
        <f>'Income Statement'!H8/'Income Statement'!$C8</f>
        <v>1.583427136548619</v>
      </c>
      <c r="H9" s="46">
        <f>'Income Statement'!I8/'Income Statement'!$C8</f>
        <v>1.7627824919906487</v>
      </c>
      <c r="I9" s="46">
        <f>'Income Statement'!J8/'Income Statement'!$C8</f>
        <v>1.6097281149883107</v>
      </c>
      <c r="J9" s="46">
        <f>'Income Statement'!K8/'Income Statement'!$C8</f>
        <v>1.5600051952550005</v>
      </c>
      <c r="K9" s="46">
        <f>'Income Statement'!L8/'Income Statement'!$C8</f>
        <v>1.0577539180881461</v>
      </c>
    </row>
    <row r="10" spans="1:11" ht="15.6" x14ac:dyDescent="0.3">
      <c r="A10" s="41" t="str">
        <f>'Income Statement'!A9</f>
        <v>Tax</v>
      </c>
      <c r="B10" s="46">
        <f>'Income Statement'!C9/'Income Statement'!$C9</f>
        <v>1</v>
      </c>
      <c r="C10" s="46">
        <f>'Income Statement'!D9/'Income Statement'!$C9</f>
        <v>1.3809695831226068</v>
      </c>
      <c r="D10" s="46">
        <f>'Income Statement'!E9/'Income Statement'!$C9</f>
        <v>1.2570623509862004</v>
      </c>
      <c r="E10" s="46">
        <f>'Income Statement'!F9/'Income Statement'!$C9</f>
        <v>1.3965031428365002</v>
      </c>
      <c r="F10" s="46">
        <f>'Income Statement'!G9/'Income Statement'!$C9</f>
        <v>9.4574091467379523E-2</v>
      </c>
      <c r="G10" s="46">
        <f>'Income Statement'!H9/'Income Statement'!$C9</f>
        <v>1.1957951015100066</v>
      </c>
      <c r="H10" s="46">
        <f>'Income Statement'!I9/'Income Statement'!$C9</f>
        <v>1.9348312983165958</v>
      </c>
      <c r="I10" s="46">
        <f>'Income Statement'!J9/'Income Statement'!$C9</f>
        <v>1.1582978108518169</v>
      </c>
      <c r="J10" s="46">
        <f>'Income Statement'!K9/'Income Statement'!$C9</f>
        <v>0.52777978469763742</v>
      </c>
      <c r="K10" s="46">
        <f>'Income Statement'!L9/'Income Statement'!$C9</f>
        <v>-4.3118271801170431</v>
      </c>
    </row>
    <row r="11" spans="1:11" ht="15.6" x14ac:dyDescent="0.3">
      <c r="A11" s="53" t="str">
        <f>'Income Statement'!A10</f>
        <v>Net profit</v>
      </c>
      <c r="B11" s="46">
        <f>'Income Statement'!C10/'Income Statement'!$C10</f>
        <v>1</v>
      </c>
      <c r="C11" s="46">
        <f>'Income Statement'!D10/'Income Statement'!$C10</f>
        <v>1.0398212626191901</v>
      </c>
      <c r="D11" s="46">
        <f>'Income Statement'!E10/'Income Statement'!$C10</f>
        <v>1.1291008389453985</v>
      </c>
      <c r="E11" s="46">
        <f>'Income Statement'!F10/'Income Statement'!$C10</f>
        <v>1.4095301141933267</v>
      </c>
      <c r="F11" s="46">
        <f>'Income Statement'!G10/'Income Statement'!$C10</f>
        <v>1.6268793522679534</v>
      </c>
      <c r="G11" s="46">
        <f>'Income Statement'!H10/'Income Statement'!$C10</f>
        <v>1.6517167190742321</v>
      </c>
      <c r="H11" s="46">
        <f>'Income Statement'!I10/'Income Statement'!$C10</f>
        <v>1.7324668050056651</v>
      </c>
      <c r="I11" s="46">
        <f>'Income Statement'!J10/'Income Statement'!$C10</f>
        <v>1.6892592073939225</v>
      </c>
      <c r="J11" s="46">
        <f>'Income Statement'!K10/'Income Statement'!$C10</f>
        <v>1.7419001667706331</v>
      </c>
      <c r="K11" s="46">
        <f>'Income Statement'!L10/'Income Statement'!$C10</f>
        <v>2.0038955582997033</v>
      </c>
    </row>
    <row r="12" spans="1:11" ht="15.6" x14ac:dyDescent="0.3">
      <c r="A12" s="41" t="str">
        <f>'Income Statement'!A11</f>
        <v>EPS</v>
      </c>
      <c r="B12" s="46">
        <f>'Income Statement'!C11/'Income Statement'!$C11</f>
        <v>1</v>
      </c>
      <c r="C12" s="46">
        <f>'Income Statement'!D11/'Income Statement'!$C11</f>
        <v>1.0396128084994851</v>
      </c>
      <c r="D12" s="46">
        <f>'Income Statement'!E11/'Income Statement'!$C11</f>
        <v>1.1270669320050917</v>
      </c>
      <c r="E12" s="46">
        <f>'Income Statement'!F11/'Income Statement'!$C11</f>
        <v>1.3977589227043137</v>
      </c>
      <c r="F12" s="46">
        <f>'Income Statement'!G11/'Income Statement'!$C11</f>
        <v>1.6087348170116686</v>
      </c>
      <c r="G12" s="46">
        <f>'Income Statement'!H11/'Income Statement'!$C11</f>
        <v>1.6321625138107716</v>
      </c>
      <c r="H12" s="46">
        <f>'Income Statement'!I11/'Income Statement'!$C11</f>
        <v>1.7101776581254895</v>
      </c>
      <c r="I12" s="46">
        <f>'Income Statement'!J11/'Income Statement'!$C11</f>
        <v>1.5951449364906449</v>
      </c>
      <c r="J12" s="46">
        <f>'Income Statement'!K11/'Income Statement'!$C11</f>
        <v>1.6166914686381018</v>
      </c>
      <c r="K12" s="46">
        <f>'Income Statement'!L11/'Income Statement'!$C11</f>
        <v>1.8585574639695375</v>
      </c>
    </row>
    <row r="13" spans="1:11" ht="15.6" x14ac:dyDescent="0.3">
      <c r="A13" s="41" t="str">
        <f>'Income Statement'!A12</f>
        <v>Price to earning</v>
      </c>
      <c r="B13" s="47" t="s">
        <v>36</v>
      </c>
      <c r="C13" s="47" t="s">
        <v>36</v>
      </c>
      <c r="D13" s="47" t="s">
        <v>36</v>
      </c>
      <c r="E13" s="47" t="s">
        <v>36</v>
      </c>
      <c r="F13" s="47" t="s">
        <v>36</v>
      </c>
      <c r="G13" s="47" t="s">
        <v>36</v>
      </c>
      <c r="H13" s="47" t="s">
        <v>36</v>
      </c>
      <c r="I13" s="47" t="s">
        <v>36</v>
      </c>
      <c r="J13" s="47" t="s">
        <v>36</v>
      </c>
      <c r="K13" s="47" t="s">
        <v>36</v>
      </c>
    </row>
    <row r="14" spans="1:11" ht="15.6" x14ac:dyDescent="0.3">
      <c r="A14" s="41" t="str">
        <f>'Income Statement'!A13</f>
        <v>Price</v>
      </c>
      <c r="B14" s="47" t="s">
        <v>36</v>
      </c>
      <c r="C14" s="47" t="s">
        <v>36</v>
      </c>
      <c r="D14" s="47" t="s">
        <v>36</v>
      </c>
      <c r="E14" s="47" t="s">
        <v>36</v>
      </c>
      <c r="F14" s="47" t="s">
        <v>36</v>
      </c>
      <c r="G14" s="47" t="s">
        <v>36</v>
      </c>
      <c r="H14" s="47" t="s">
        <v>36</v>
      </c>
      <c r="I14" s="47" t="s">
        <v>36</v>
      </c>
      <c r="J14" s="47" t="s">
        <v>36</v>
      </c>
      <c r="K14" s="47" t="s">
        <v>36</v>
      </c>
    </row>
    <row r="17" spans="1:11" ht="18" x14ac:dyDescent="0.35">
      <c r="A17" s="75" t="str">
        <f>CONCATENATE("Balance Sheet Trend Analysis of ",'Basic Info'!B1," [", 'Basic Info'!B2,"]"," (",'Basic Info'!B3,")")</f>
        <v>Balance Sheet Trend Analysis of HDFC Life Insurance Company Ltd. [HDFCLIFE] (2014-15 to 2023-24)</v>
      </c>
      <c r="B17" s="76"/>
      <c r="C17" s="76"/>
      <c r="D17" s="76"/>
      <c r="E17" s="76"/>
      <c r="F17" s="76"/>
      <c r="G17" s="76"/>
      <c r="H17" s="76"/>
      <c r="I17" s="76"/>
      <c r="J17" s="76"/>
      <c r="K17" s="77"/>
    </row>
    <row r="18" spans="1:11" ht="15.6" x14ac:dyDescent="0.3">
      <c r="A18" s="40" t="str">
        <f>'Balance Sheet'!A1</f>
        <v>Narration</v>
      </c>
      <c r="B18" s="40">
        <f>'Balance Sheet'!C1</f>
        <v>42094</v>
      </c>
      <c r="C18" s="40">
        <f>'Balance Sheet'!D1</f>
        <v>42460</v>
      </c>
      <c r="D18" s="40">
        <f>'Balance Sheet'!E1</f>
        <v>42825</v>
      </c>
      <c r="E18" s="40">
        <f>'Balance Sheet'!F1</f>
        <v>43190</v>
      </c>
      <c r="F18" s="40">
        <f>'Balance Sheet'!G1</f>
        <v>43555</v>
      </c>
      <c r="G18" s="40">
        <f>'Balance Sheet'!H1</f>
        <v>43921</v>
      </c>
      <c r="H18" s="40">
        <f>'Balance Sheet'!I1</f>
        <v>44286</v>
      </c>
      <c r="I18" s="40">
        <f>'Balance Sheet'!J1</f>
        <v>44651</v>
      </c>
      <c r="J18" s="40">
        <f>'Balance Sheet'!K1</f>
        <v>45016</v>
      </c>
      <c r="K18" s="40">
        <f>'Balance Sheet'!L1</f>
        <v>45382</v>
      </c>
    </row>
    <row r="19" spans="1:11" ht="15.6" x14ac:dyDescent="0.3">
      <c r="A19" s="41" t="str">
        <f>'Balance Sheet'!A2</f>
        <v>Equity Share Capital</v>
      </c>
      <c r="B19" s="46">
        <f>'Balance Sheet'!C2/'Balance Sheet'!$C2</f>
        <v>1</v>
      </c>
      <c r="C19" s="46">
        <f>'Balance Sheet'!D2/'Balance Sheet'!$C2</f>
        <v>1.000205526146936</v>
      </c>
      <c r="D19" s="46">
        <f>'Balance Sheet'!E2/'Balance Sheet'!$C2</f>
        <v>1.0018046198267565</v>
      </c>
      <c r="E19" s="46">
        <f>'Balance Sheet'!F2/'Balance Sheet'!$C2</f>
        <v>1.0084516361886429</v>
      </c>
      <c r="F19" s="46">
        <f>'Balance Sheet'!G2/'Balance Sheet'!$C2</f>
        <v>1.011278873917228</v>
      </c>
      <c r="G19" s="46">
        <f>'Balance Sheet'!H2/'Balance Sheet'!$C2</f>
        <v>1.0119906961822265</v>
      </c>
      <c r="H19" s="46">
        <f>'Balance Sheet'!I2/'Balance Sheet'!$C2</f>
        <v>1.0130634424125762</v>
      </c>
      <c r="I19" s="46">
        <f>'Balance Sheet'!J2/'Balance Sheet'!$C2</f>
        <v>1.0590210940006415</v>
      </c>
      <c r="J19" s="46">
        <f>'Balance Sheet'!K2/'Balance Sheet'!$C2</f>
        <v>1.0774582932306704</v>
      </c>
      <c r="K19" s="46">
        <f>'Balance Sheet'!L2/'Balance Sheet'!$C2</f>
        <v>1.0782302694898942</v>
      </c>
    </row>
    <row r="20" spans="1:11" ht="15.6" x14ac:dyDescent="0.3">
      <c r="A20" s="41" t="str">
        <f>'Balance Sheet'!A3</f>
        <v>Reserves</v>
      </c>
      <c r="B20" s="46">
        <f>'Balance Sheet'!C3/'Balance Sheet'!$C3</f>
        <v>1</v>
      </c>
      <c r="C20" s="46">
        <f>'Balance Sheet'!D3/'Balance Sheet'!$C3</f>
        <v>2.0281844802342608</v>
      </c>
      <c r="D20" s="46">
        <f>'Balance Sheet'!E3/'Balance Sheet'!$C3</f>
        <v>3.3452415812591507</v>
      </c>
      <c r="E20" s="46">
        <f>'Balance Sheet'!F3/'Balance Sheet'!$C3</f>
        <v>4.9293008784773056</v>
      </c>
      <c r="F20" s="46">
        <f>'Balance Sheet'!G3/'Balance Sheet'!$C3</f>
        <v>6.6347364568081995</v>
      </c>
      <c r="G20" s="46">
        <f>'Balance Sheet'!H3/'Balance Sheet'!$C3</f>
        <v>8.7624816983894576</v>
      </c>
      <c r="H20" s="46">
        <f>'Balance Sheet'!I3/'Balance Sheet'!$C3</f>
        <v>12.113561493411421</v>
      </c>
      <c r="I20" s="46">
        <f>'Balance Sheet'!J3/'Balance Sheet'!$C3</f>
        <v>24.708473645680819</v>
      </c>
      <c r="J20" s="46">
        <f>'Balance Sheet'!K3/'Balance Sheet'!$C3</f>
        <v>19.845790629575404</v>
      </c>
      <c r="K20" s="46">
        <f>'Balance Sheet'!L3/'Balance Sheet'!$C3</f>
        <v>22.905215959004394</v>
      </c>
    </row>
    <row r="21" spans="1:11" ht="15.6" x14ac:dyDescent="0.3">
      <c r="A21" s="41" t="str">
        <f>'Balance Sheet'!A4</f>
        <v>Borrowings</v>
      </c>
      <c r="B21" s="47" t="s">
        <v>36</v>
      </c>
      <c r="C21" s="47" t="s">
        <v>36</v>
      </c>
      <c r="D21" s="47" t="s">
        <v>36</v>
      </c>
      <c r="E21" s="47" t="s">
        <v>36</v>
      </c>
      <c r="F21" s="47" t="s">
        <v>36</v>
      </c>
      <c r="G21" s="47" t="s">
        <v>36</v>
      </c>
      <c r="H21" s="47" t="s">
        <v>36</v>
      </c>
      <c r="I21" s="47" t="s">
        <v>36</v>
      </c>
      <c r="J21" s="47" t="s">
        <v>36</v>
      </c>
      <c r="K21" s="47" t="s">
        <v>36</v>
      </c>
    </row>
    <row r="22" spans="1:11" ht="15.6" x14ac:dyDescent="0.3">
      <c r="A22" s="41" t="str">
        <f>'Balance Sheet'!A5</f>
        <v>Other Liabilities</v>
      </c>
      <c r="B22" s="46">
        <f>'Balance Sheet'!C5/'Balance Sheet'!$C5</f>
        <v>1</v>
      </c>
      <c r="C22" s="46">
        <f>'Balance Sheet'!D5/'Balance Sheet'!$C5</f>
        <v>1.0999539594567633</v>
      </c>
      <c r="D22" s="46">
        <f>'Balance Sheet'!E5/'Balance Sheet'!$C5</f>
        <v>1.3669915066131233</v>
      </c>
      <c r="E22" s="46">
        <f>'Balance Sheet'!F5/'Balance Sheet'!$C5</f>
        <v>1.5842756118120203</v>
      </c>
      <c r="F22" s="46">
        <f>'Balance Sheet'!G5/'Balance Sheet'!$C5</f>
        <v>1.8628568441648927</v>
      </c>
      <c r="G22" s="46">
        <f>'Balance Sheet'!H5/'Balance Sheet'!$C5</f>
        <v>1.8784246585600961</v>
      </c>
      <c r="H22" s="46">
        <f>'Balance Sheet'!I5/'Balance Sheet'!$C5</f>
        <v>2.5523782321989046</v>
      </c>
      <c r="I22" s="46">
        <f>'Balance Sheet'!J5/'Balance Sheet'!$C5</f>
        <v>3.2129697138896258</v>
      </c>
      <c r="J22" s="46">
        <f>'Balance Sheet'!K5/'Balance Sheet'!$C5</f>
        <v>3.5066015908400581</v>
      </c>
      <c r="K22" s="46">
        <f>'Balance Sheet'!L5/'Balance Sheet'!$C5</f>
        <v>4.2995726646780659</v>
      </c>
    </row>
    <row r="23" spans="1:11" ht="15.6" x14ac:dyDescent="0.3">
      <c r="A23" s="53" t="str">
        <f>'Balance Sheet'!A6</f>
        <v>Total Liabilities</v>
      </c>
      <c r="B23" s="46">
        <f>'Balance Sheet'!C6/'Balance Sheet'!$C6</f>
        <v>1</v>
      </c>
      <c r="C23" s="46">
        <f>'Balance Sheet'!D6/'Balance Sheet'!$C6</f>
        <v>1.1044007287992876</v>
      </c>
      <c r="D23" s="46">
        <f>'Balance Sheet'!E6/'Balance Sheet'!$C6</f>
        <v>1.3720761891900159</v>
      </c>
      <c r="E23" s="46">
        <f>'Balance Sheet'!F6/'Balance Sheet'!$C6</f>
        <v>1.594072705635613</v>
      </c>
      <c r="F23" s="46">
        <f>'Balance Sheet'!G6/'Balance Sheet'!$C6</f>
        <v>1.8759657542824459</v>
      </c>
      <c r="G23" s="46">
        <f>'Balance Sheet'!H6/'Balance Sheet'!$C6</f>
        <v>1.907757516680489</v>
      </c>
      <c r="H23" s="46">
        <f>'Balance Sheet'!I6/'Balance Sheet'!$C6</f>
        <v>2.5921061364461395</v>
      </c>
      <c r="I23" s="46">
        <f>'Balance Sheet'!J6/'Balance Sheet'!$C6</f>
        <v>3.329092152018251</v>
      </c>
      <c r="J23" s="46">
        <f>'Balance Sheet'!K6/'Balance Sheet'!$C6</f>
        <v>3.5792028166234107</v>
      </c>
      <c r="K23" s="46">
        <f>'Balance Sheet'!L6/'Balance Sheet'!$C6</f>
        <v>4.3672401315162981</v>
      </c>
    </row>
    <row r="24" spans="1:11" ht="15.6" x14ac:dyDescent="0.3">
      <c r="A24" s="41" t="str">
        <f>'Balance Sheet'!A8</f>
        <v>Net Block</v>
      </c>
      <c r="B24" s="46">
        <f>'Balance Sheet'!C8/'Balance Sheet'!$C8</f>
        <v>1</v>
      </c>
      <c r="C24" s="46">
        <f>'Balance Sheet'!D8/'Balance Sheet'!$C8</f>
        <v>0.96870213565297814</v>
      </c>
      <c r="D24" s="46">
        <f>'Balance Sheet'!E8/'Balance Sheet'!$C8</f>
        <v>0.97497326821373875</v>
      </c>
      <c r="E24" s="46">
        <f>'Balance Sheet'!F8/'Balance Sheet'!$C8</f>
        <v>0.97222784151663166</v>
      </c>
      <c r="F24" s="46">
        <f>'Balance Sheet'!G8/'Balance Sheet'!$C8</f>
        <v>1.0697338381065227</v>
      </c>
      <c r="G24" s="46">
        <f>'Balance Sheet'!H8/'Balance Sheet'!$C8</f>
        <v>0.93142213102910165</v>
      </c>
      <c r="H24" s="46">
        <f>'Balance Sheet'!I8/'Balance Sheet'!$C8</f>
        <v>1.689680085541716</v>
      </c>
      <c r="I24" s="46">
        <f>'Balance Sheet'!J8/'Balance Sheet'!$C8</f>
        <v>19.088633933473979</v>
      </c>
      <c r="J24" s="46">
        <f>'Balance Sheet'!K8/'Balance Sheet'!$C8</f>
        <v>2.8818310551108288</v>
      </c>
      <c r="K24" s="46">
        <f>'Balance Sheet'!L8/'Balance Sheet'!$C8</f>
        <v>4.4764615784758552</v>
      </c>
    </row>
    <row r="25" spans="1:11" ht="15.6" x14ac:dyDescent="0.3">
      <c r="A25" s="41" t="str">
        <f>'Balance Sheet'!A9</f>
        <v>Capital Work in Progress</v>
      </c>
      <c r="B25" s="46">
        <f>'Balance Sheet'!C9/'Balance Sheet'!$C9</f>
        <v>1</v>
      </c>
      <c r="C25" s="46">
        <f>'Balance Sheet'!D9/'Balance Sheet'!$C9</f>
        <v>1.8881987577639752</v>
      </c>
      <c r="D25" s="46">
        <f>'Balance Sheet'!E9/'Balance Sheet'!$C9</f>
        <v>2.4984472049689441</v>
      </c>
      <c r="E25" s="46">
        <f>'Balance Sheet'!F9/'Balance Sheet'!$C9</f>
        <v>0.81987577639751552</v>
      </c>
      <c r="F25" s="46">
        <f>'Balance Sheet'!G9/'Balance Sheet'!$C9</f>
        <v>1.5822981366459625</v>
      </c>
      <c r="G25" s="46">
        <f>'Balance Sheet'!H9/'Balance Sheet'!$C9</f>
        <v>1.3059006211180124</v>
      </c>
      <c r="H25" s="46">
        <f>'Balance Sheet'!I9/'Balance Sheet'!$C9</f>
        <v>2.2111801242236022</v>
      </c>
      <c r="I25" s="46">
        <f>'Balance Sheet'!J9/'Balance Sheet'!$C9</f>
        <v>3.0745341614906834</v>
      </c>
      <c r="J25" s="46">
        <f>'Balance Sheet'!K9/'Balance Sheet'!$C9</f>
        <v>4.7810559006211175</v>
      </c>
      <c r="K25" s="46">
        <f>'Balance Sheet'!L9/'Balance Sheet'!$C9</f>
        <v>4.2965838509316772</v>
      </c>
    </row>
    <row r="26" spans="1:11" ht="15.6" x14ac:dyDescent="0.3">
      <c r="A26" s="41" t="str">
        <f>'Balance Sheet'!A10</f>
        <v>Investments</v>
      </c>
      <c r="B26" s="46">
        <f>'Balance Sheet'!C10/'Balance Sheet'!$C10</f>
        <v>1</v>
      </c>
      <c r="C26" s="46">
        <f>'Balance Sheet'!D10/'Balance Sheet'!$C10</f>
        <v>1.1062330917665371</v>
      </c>
      <c r="D26" s="46">
        <f>'Balance Sheet'!E10/'Balance Sheet'!$C10</f>
        <v>1.3685251872625088</v>
      </c>
      <c r="E26" s="46">
        <f>'Balance Sheet'!F10/'Balance Sheet'!$C10</f>
        <v>1.5903345032701934</v>
      </c>
      <c r="F26" s="46">
        <f>'Balance Sheet'!G10/'Balance Sheet'!$C10</f>
        <v>1.8643887313655079</v>
      </c>
      <c r="G26" s="46">
        <f>'Balance Sheet'!H10/'Balance Sheet'!$C10</f>
        <v>1.8986713030462723</v>
      </c>
      <c r="H26" s="46">
        <f>'Balance Sheet'!I10/'Balance Sheet'!$C10</f>
        <v>2.5895904365569362</v>
      </c>
      <c r="I26" s="46">
        <f>'Balance Sheet'!J10/'Balance Sheet'!$C10</f>
        <v>3.2309629628745475</v>
      </c>
      <c r="J26" s="46">
        <f>'Balance Sheet'!K10/'Balance Sheet'!$C10</f>
        <v>3.5539308863927852</v>
      </c>
      <c r="K26" s="46">
        <f>'Balance Sheet'!L10/'Balance Sheet'!$C10</f>
        <v>4.3436655707336342</v>
      </c>
    </row>
    <row r="27" spans="1:11" ht="15.6" x14ac:dyDescent="0.3">
      <c r="A27" s="41" t="str">
        <f>'Balance Sheet'!A11</f>
        <v>Other Assets</v>
      </c>
      <c r="B27" s="46">
        <f>'Balance Sheet'!C11/'Balance Sheet'!$C11</f>
        <v>1</v>
      </c>
      <c r="C27" s="46">
        <f>'Balance Sheet'!D11/'Balance Sheet'!$C11</f>
        <v>1.0625358992802034</v>
      </c>
      <c r="D27" s="46">
        <f>'Balance Sheet'!E11/'Balance Sheet'!$C11</f>
        <v>1.5625850586548959</v>
      </c>
      <c r="E27" s="46">
        <f>'Balance Sheet'!F11/'Balance Sheet'!$C11</f>
        <v>1.8376498714094249</v>
      </c>
      <c r="F27" s="46">
        <f>'Balance Sheet'!G11/'Balance Sheet'!$C11</f>
        <v>2.4228275437389071</v>
      </c>
      <c r="G27" s="46">
        <f>'Balance Sheet'!H11/'Balance Sheet'!$C11</f>
        <v>2.3997174629622924</v>
      </c>
      <c r="H27" s="46">
        <f>'Balance Sheet'!I11/'Balance Sheet'!$C11</f>
        <v>2.8422139312493209</v>
      </c>
      <c r="I27" s="46">
        <f>'Balance Sheet'!J11/'Balance Sheet'!$C11</f>
        <v>3.9114148068036578</v>
      </c>
      <c r="J27" s="46">
        <f>'Balance Sheet'!K11/'Balance Sheet'!$C11</f>
        <v>4.5765618450806986</v>
      </c>
      <c r="K27" s="46">
        <f>'Balance Sheet'!L11/'Balance Sheet'!$C11</f>
        <v>5.1655429006100944</v>
      </c>
    </row>
    <row r="28" spans="1:11" ht="15.6" x14ac:dyDescent="0.3">
      <c r="A28" s="53" t="str">
        <f>'Balance Sheet'!A12</f>
        <v>Total Assets</v>
      </c>
      <c r="B28" s="46">
        <f>'Balance Sheet'!C12/'Balance Sheet'!$C12</f>
        <v>1</v>
      </c>
      <c r="C28" s="46">
        <f>'Balance Sheet'!D12/'Balance Sheet'!$C12</f>
        <v>1.1044007287992876</v>
      </c>
      <c r="D28" s="46">
        <f>'Balance Sheet'!E12/'Balance Sheet'!$C12</f>
        <v>1.3720761891900159</v>
      </c>
      <c r="E28" s="46">
        <f>'Balance Sheet'!F12/'Balance Sheet'!$C12</f>
        <v>1.594072705635613</v>
      </c>
      <c r="F28" s="46">
        <f>'Balance Sheet'!G12/'Balance Sheet'!$C12</f>
        <v>1.8759657542824459</v>
      </c>
      <c r="G28" s="46">
        <f>'Balance Sheet'!H12/'Balance Sheet'!$C12</f>
        <v>1.907757516680489</v>
      </c>
      <c r="H28" s="46">
        <f>'Balance Sheet'!I12/'Balance Sheet'!$C12</f>
        <v>2.5921061364461395</v>
      </c>
      <c r="I28" s="46">
        <f>'Balance Sheet'!J12/'Balance Sheet'!$C12</f>
        <v>3.329092152018251</v>
      </c>
      <c r="J28" s="46">
        <f>'Balance Sheet'!K12/'Balance Sheet'!$C12</f>
        <v>3.5792028166234107</v>
      </c>
      <c r="K28" s="46">
        <f>'Balance Sheet'!L12/'Balance Sheet'!$C12</f>
        <v>4.3672401315162981</v>
      </c>
    </row>
  </sheetData>
  <mergeCells count="2">
    <mergeCell ref="A17:K17"/>
    <mergeCell ref="A1:K1"/>
  </mergeCells>
  <conditionalFormatting sqref="B5:K5">
    <cfRule type="iconSet" priority="7">
      <iconSet iconSet="4Arrows">
        <cfvo type="percent" val="0"/>
        <cfvo type="percent" val="25"/>
        <cfvo type="percent" val="50"/>
        <cfvo type="percent" val="75"/>
      </iconSet>
    </cfRule>
    <cfRule type="dataBar" priority="8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{6BACF3D3-AA24-43E1-9BEA-D7CE1B2C013B}</x14:id>
        </ext>
      </extLst>
    </cfRule>
  </conditionalFormatting>
  <conditionalFormatting sqref="B11:K11">
    <cfRule type="iconSet" priority="5">
      <iconSet iconSet="3Signs">
        <cfvo type="percent" val="0"/>
        <cfvo type="percent" val="33"/>
        <cfvo type="percent" val="67"/>
      </iconSet>
    </cfRule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{07E1B86C-6042-4089-851E-62B4050D6776}</x14:id>
        </ext>
      </extLst>
    </cfRule>
  </conditionalFormatting>
  <conditionalFormatting sqref="B23:K23">
    <cfRule type="iconSet" priority="3">
      <iconSet iconSet="3TrafficLights2">
        <cfvo type="percent" val="0"/>
        <cfvo type="percent" val="33"/>
        <cfvo type="percent" val="67"/>
      </iconSet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8:K28">
    <cfRule type="iconSet" priority="1">
      <iconSet iconSet="3TrafficLights2">
        <cfvo type="percent" val="0"/>
        <cfvo type="percent" val="33"/>
        <cfvo type="percent" val="67"/>
      </iconSet>
    </cfRule>
    <cfRule type="colorScale" priority="2">
      <colorScale>
        <cfvo type="min"/>
        <cfvo type="max"/>
        <color rgb="FFFFEF9C"/>
        <color rgb="FF63BE7B"/>
      </colorScale>
    </cfRule>
  </conditionalFormatting>
  <conditionalFormatting sqref="B13:K1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:K14">
    <cfRule type="dataBar" priority="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{8E015712-7F8E-49CA-A722-D60D0EB24222}</x14:id>
        </ext>
      </extLst>
    </cfRule>
    <cfRule type="colorScale" priority="3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8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ACF3D3-AA24-43E1-9BEA-D7CE1B2C013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B5:K5</xm:sqref>
        </x14:conditionalFormatting>
        <x14:conditionalFormatting xmlns:xm="http://schemas.microsoft.com/office/excel/2006/main">
          <x14:cfRule type="dataBar" id="{07E1B86C-6042-4089-851E-62B4050D67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B11:K11</xm:sqref>
        </x14:conditionalFormatting>
        <x14:conditionalFormatting xmlns:xm="http://schemas.microsoft.com/office/excel/2006/main">
          <x14:cfRule type="dataBar" id="{8E015712-7F8E-49CA-A722-D60D0EB242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B13:K14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A4F7D-D406-4FE8-A616-643816D84DD1}">
  <sheetPr>
    <tabColor rgb="FF00B050"/>
  </sheetPr>
  <dimension ref="A1:M25"/>
  <sheetViews>
    <sheetView showGridLines="0" workbookViewId="0">
      <selection activeCell="P25" sqref="P25"/>
    </sheetView>
  </sheetViews>
  <sheetFormatPr defaultRowHeight="14.4" x14ac:dyDescent="0.3"/>
  <cols>
    <col min="2" max="2" width="13.44140625" bestFit="1" customWidth="1"/>
    <col min="3" max="3" width="11" bestFit="1" customWidth="1"/>
    <col min="4" max="4" width="13.109375" bestFit="1" customWidth="1"/>
    <col min="5" max="5" width="24.6640625" bestFit="1" customWidth="1"/>
    <col min="6" max="6" width="12.33203125" customWidth="1"/>
    <col min="7" max="7" width="12" bestFit="1" customWidth="1"/>
    <col min="8" max="8" width="19.44140625" bestFit="1" customWidth="1"/>
    <col min="9" max="9" width="13.6640625" bestFit="1" customWidth="1"/>
    <col min="10" max="10" width="8.33203125" customWidth="1"/>
    <col min="13" max="13" width="15.6640625" bestFit="1" customWidth="1"/>
  </cols>
  <sheetData>
    <row r="1" spans="1:13" ht="18" x14ac:dyDescent="0.35">
      <c r="A1" s="78" t="s">
        <v>68</v>
      </c>
      <c r="B1" s="78"/>
      <c r="C1" s="78"/>
      <c r="D1" s="78"/>
      <c r="E1" s="78"/>
      <c r="F1" s="78"/>
      <c r="G1" s="78"/>
      <c r="H1" s="78"/>
      <c r="I1" s="78"/>
      <c r="J1" s="78"/>
    </row>
    <row r="2" spans="1:13" x14ac:dyDescent="0.3">
      <c r="A2" s="54" t="s">
        <v>56</v>
      </c>
      <c r="B2" s="54" t="s">
        <v>57</v>
      </c>
      <c r="C2" s="54" t="s">
        <v>58</v>
      </c>
      <c r="D2" s="54" t="s">
        <v>59</v>
      </c>
      <c r="E2" s="54" t="s">
        <v>60</v>
      </c>
      <c r="F2" s="54" t="s">
        <v>61</v>
      </c>
      <c r="G2" s="54" t="s">
        <v>64</v>
      </c>
      <c r="H2" s="54" t="s">
        <v>65</v>
      </c>
      <c r="I2" s="54" t="s">
        <v>62</v>
      </c>
      <c r="J2" s="54" t="s">
        <v>63</v>
      </c>
    </row>
    <row r="3" spans="1:13" x14ac:dyDescent="0.3">
      <c r="A3" s="55">
        <v>2015</v>
      </c>
      <c r="B3" s="55">
        <f>+'Income Statement'!C10</f>
        <v>785.51</v>
      </c>
      <c r="C3" s="55">
        <f>+'Balance Sheet'!B2+'Balance Sheet'!B3</f>
        <v>1928</v>
      </c>
      <c r="D3" s="56">
        <f>+'Balance Sheet'!C2+'Balance Sheet'!C3</f>
        <v>2541.2800000000002</v>
      </c>
      <c r="E3" s="57">
        <f>+(C3+D3)/2</f>
        <v>2234.6400000000003</v>
      </c>
      <c r="F3" s="59">
        <f>+(B3/E3)*100</f>
        <v>35.151523287867391</v>
      </c>
      <c r="G3" s="57">
        <f>+'Balance Sheet'!B12</f>
        <v>52275</v>
      </c>
      <c r="H3" s="55">
        <f>+'Balance Sheet'!C12</f>
        <v>69308.52</v>
      </c>
      <c r="I3" s="57">
        <f>+(G3+H3)/2</f>
        <v>60791.76</v>
      </c>
      <c r="J3" s="60">
        <f>+(B3/I3)*100</f>
        <v>1.2921323547796608</v>
      </c>
    </row>
    <row r="4" spans="1:13" x14ac:dyDescent="0.3">
      <c r="A4" s="55">
        <f>+A3+1</f>
        <v>2016</v>
      </c>
      <c r="B4" s="55">
        <f>+'Income Statement'!D10</f>
        <v>816.79</v>
      </c>
      <c r="C4" s="56">
        <f>+'Balance Sheet'!C2+'Balance Sheet'!C3</f>
        <v>2541.2800000000002</v>
      </c>
      <c r="D4" s="56">
        <f>+'Balance Sheet'!D2+'Balance Sheet'!D3</f>
        <v>3103.49</v>
      </c>
      <c r="E4" s="57">
        <f t="shared" ref="E4:E12" si="0">+(C4+D4)/2</f>
        <v>2822.3850000000002</v>
      </c>
      <c r="F4" s="59">
        <f t="shared" ref="F4:F12" si="1">+(B4/E4)*100</f>
        <v>28.939708792386575</v>
      </c>
      <c r="G4" s="55">
        <f>+'Balance Sheet'!C12</f>
        <v>69308.52</v>
      </c>
      <c r="H4" s="55">
        <f>+'Balance Sheet'!D12</f>
        <v>76544.38</v>
      </c>
      <c r="I4" s="57">
        <f t="shared" ref="I4:I12" si="2">+(G4+H4)/2</f>
        <v>72926.450000000012</v>
      </c>
      <c r="J4" s="60">
        <f t="shared" ref="J4:J12" si="3">+(B4/I4)*100</f>
        <v>1.1200188683255525</v>
      </c>
    </row>
    <row r="5" spans="1:13" x14ac:dyDescent="0.3">
      <c r="A5" s="55">
        <f t="shared" ref="A5:A12" si="4">+A4+1</f>
        <v>2017</v>
      </c>
      <c r="B5" s="55">
        <f>+'Income Statement'!E10</f>
        <v>886.92</v>
      </c>
      <c r="C5" s="56">
        <f>+'Balance Sheet'!D2+'Balance Sheet'!D3</f>
        <v>3103.49</v>
      </c>
      <c r="D5" s="56">
        <f>+'Balance Sheet'!E2+'Balance Sheet'!E3</f>
        <v>3826.3199999999997</v>
      </c>
      <c r="E5" s="57">
        <f t="shared" si="0"/>
        <v>3464.9049999999997</v>
      </c>
      <c r="F5" s="59">
        <f t="shared" si="1"/>
        <v>25.597238596729206</v>
      </c>
      <c r="G5" s="55">
        <f>+'Balance Sheet'!D12</f>
        <v>76544.38</v>
      </c>
      <c r="H5" s="55">
        <f>+'Balance Sheet'!E12</f>
        <v>95096.57</v>
      </c>
      <c r="I5" s="57">
        <f t="shared" si="2"/>
        <v>85820.475000000006</v>
      </c>
      <c r="J5" s="60">
        <f t="shared" si="3"/>
        <v>1.0334596726480481</v>
      </c>
    </row>
    <row r="6" spans="1:13" x14ac:dyDescent="0.3">
      <c r="A6" s="55">
        <f t="shared" si="4"/>
        <v>2018</v>
      </c>
      <c r="B6" s="55">
        <f>+'Income Statement'!F10</f>
        <v>1107.2</v>
      </c>
      <c r="C6" s="56">
        <f>+'Balance Sheet'!E2+'Balance Sheet'!E3</f>
        <v>3826.3199999999997</v>
      </c>
      <c r="D6" s="56">
        <f>+'Balance Sheet'!F2+'Balance Sheet'!F3</f>
        <v>4705.1099999999997</v>
      </c>
      <c r="E6" s="57">
        <f t="shared" si="0"/>
        <v>4265.7150000000001</v>
      </c>
      <c r="F6" s="59">
        <f t="shared" si="1"/>
        <v>25.955789357704397</v>
      </c>
      <c r="G6" s="55">
        <f>+'Balance Sheet'!E12</f>
        <v>95096.57</v>
      </c>
      <c r="H6" s="55">
        <f>+'Balance Sheet'!F12</f>
        <v>110482.82</v>
      </c>
      <c r="I6" s="57">
        <f t="shared" si="2"/>
        <v>102789.69500000001</v>
      </c>
      <c r="J6" s="60">
        <f t="shared" si="3"/>
        <v>1.0771507785872891</v>
      </c>
    </row>
    <row r="7" spans="1:13" x14ac:dyDescent="0.3">
      <c r="A7" s="55">
        <f t="shared" si="4"/>
        <v>2019</v>
      </c>
      <c r="B7" s="55">
        <f>+'Income Statement'!G10</f>
        <v>1277.93</v>
      </c>
      <c r="C7" s="56">
        <f>+'Balance Sheet'!F2+'Balance Sheet'!F3</f>
        <v>4705.1099999999997</v>
      </c>
      <c r="D7" s="56">
        <f>+'Balance Sheet'!G2+'Balance Sheet'!G3</f>
        <v>5642.6</v>
      </c>
      <c r="E7" s="57">
        <f t="shared" si="0"/>
        <v>5173.8549999999996</v>
      </c>
      <c r="F7" s="59">
        <f t="shared" si="1"/>
        <v>24.699764488954564</v>
      </c>
      <c r="G7" s="55">
        <f>+'Balance Sheet'!F12</f>
        <v>110482.82</v>
      </c>
      <c r="H7" s="55">
        <f>+'Balance Sheet'!G12</f>
        <v>130020.41</v>
      </c>
      <c r="I7" s="57">
        <f t="shared" si="2"/>
        <v>120251.61500000001</v>
      </c>
      <c r="J7" s="60">
        <f t="shared" si="3"/>
        <v>1.0627133781113876</v>
      </c>
    </row>
    <row r="8" spans="1:13" x14ac:dyDescent="0.3">
      <c r="A8" s="55">
        <f t="shared" si="4"/>
        <v>2020</v>
      </c>
      <c r="B8" s="55">
        <f>+'Income Statement'!H10</f>
        <v>1297.44</v>
      </c>
      <c r="C8" s="56">
        <f>+'Balance Sheet'!G2+'Balance Sheet'!G3</f>
        <v>5642.6</v>
      </c>
      <c r="D8" s="56">
        <f>+'Balance Sheet'!H2+'Balance Sheet'!H3</f>
        <v>6806.62</v>
      </c>
      <c r="E8" s="57">
        <f t="shared" si="0"/>
        <v>6224.6100000000006</v>
      </c>
      <c r="F8" s="59">
        <f t="shared" si="1"/>
        <v>20.843715509887364</v>
      </c>
      <c r="G8" s="55">
        <f>+'Balance Sheet'!G12</f>
        <v>130020.41</v>
      </c>
      <c r="H8" s="55">
        <f>+'Balance Sheet'!H12</f>
        <v>132223.85</v>
      </c>
      <c r="I8" s="57">
        <f t="shared" si="2"/>
        <v>131122.13</v>
      </c>
      <c r="J8" s="60">
        <f t="shared" si="3"/>
        <v>0.98948972229172905</v>
      </c>
    </row>
    <row r="9" spans="1:13" x14ac:dyDescent="0.3">
      <c r="A9" s="55">
        <f t="shared" si="4"/>
        <v>2021</v>
      </c>
      <c r="B9" s="55">
        <f>+'Income Statement'!I10</f>
        <v>1360.87</v>
      </c>
      <c r="C9" s="56">
        <f>+'Balance Sheet'!H2+'Balance Sheet'!H3</f>
        <v>6806.62</v>
      </c>
      <c r="D9" s="56">
        <f>+'Balance Sheet'!I2+'Balance Sheet'!I3</f>
        <v>8639.7900000000009</v>
      </c>
      <c r="E9" s="57">
        <f t="shared" si="0"/>
        <v>7723.2049999999999</v>
      </c>
      <c r="F9" s="59">
        <f t="shared" si="1"/>
        <v>17.620534480180183</v>
      </c>
      <c r="G9" s="55">
        <f>+'Balance Sheet'!H12</f>
        <v>132223.85</v>
      </c>
      <c r="H9" s="55">
        <f>+'Balance Sheet'!I12</f>
        <v>179655.04000000001</v>
      </c>
      <c r="I9" s="57">
        <f t="shared" si="2"/>
        <v>155939.44500000001</v>
      </c>
      <c r="J9" s="60">
        <f t="shared" si="3"/>
        <v>0.87269131937721067</v>
      </c>
    </row>
    <row r="10" spans="1:13" x14ac:dyDescent="0.3">
      <c r="A10" s="55">
        <f t="shared" si="4"/>
        <v>2022</v>
      </c>
      <c r="B10" s="55">
        <f>+Table1[[#This Row],[Mar-22]]</f>
        <v>1326.93</v>
      </c>
      <c r="C10" s="56">
        <f>+'Balance Sheet'!I2+'Balance Sheet'!I3</f>
        <v>8639.7900000000009</v>
      </c>
      <c r="D10" s="56">
        <f>+'Balance Sheet'!J2+'Balance Sheet'!J3</f>
        <v>15613.329999999998</v>
      </c>
      <c r="E10" s="57">
        <f t="shared" si="0"/>
        <v>12126.56</v>
      </c>
      <c r="F10" s="59">
        <f t="shared" si="1"/>
        <v>10.942344737501815</v>
      </c>
      <c r="G10" s="55">
        <f>+'Balance Sheet'!I12</f>
        <v>179655.04000000001</v>
      </c>
      <c r="H10" s="55">
        <f>+'Balance Sheet'!J12</f>
        <v>230734.45</v>
      </c>
      <c r="I10" s="57">
        <f t="shared" si="2"/>
        <v>205194.745</v>
      </c>
      <c r="J10" s="60">
        <f t="shared" si="3"/>
        <v>0.64666860742462007</v>
      </c>
    </row>
    <row r="11" spans="1:13" x14ac:dyDescent="0.3">
      <c r="A11" s="55">
        <f t="shared" si="4"/>
        <v>2023</v>
      </c>
      <c r="B11" s="55">
        <f>+'Income Statement'!K10</f>
        <v>1368.28</v>
      </c>
      <c r="C11" s="56">
        <f>+'Balance Sheet'!J2+'Balance Sheet'!J3</f>
        <v>15613.329999999998</v>
      </c>
      <c r="D11" s="56">
        <f>+'Balance Sheet'!K2+'Balance Sheet'!K3</f>
        <v>12993.14</v>
      </c>
      <c r="E11" s="57">
        <f t="shared" si="0"/>
        <v>14303.234999999999</v>
      </c>
      <c r="F11" s="59">
        <f t="shared" si="1"/>
        <v>9.5662275002822792</v>
      </c>
      <c r="G11" s="55">
        <f>+'Balance Sheet'!J12</f>
        <v>230734.45</v>
      </c>
      <c r="H11" s="55">
        <f>+'Balance Sheet'!K12</f>
        <v>248069.25</v>
      </c>
      <c r="I11" s="57">
        <f t="shared" si="2"/>
        <v>239401.85</v>
      </c>
      <c r="J11" s="60">
        <f t="shared" si="3"/>
        <v>0.57154111382180217</v>
      </c>
    </row>
    <row r="12" spans="1:13" x14ac:dyDescent="0.3">
      <c r="A12" s="55">
        <f t="shared" si="4"/>
        <v>2024</v>
      </c>
      <c r="B12" s="55">
        <f>+'Income Statement'!L10</f>
        <v>1574.08</v>
      </c>
      <c r="C12" s="56">
        <f>+'Balance Sheet'!K2+'Balance Sheet'!K3</f>
        <v>12993.14</v>
      </c>
      <c r="D12" s="56">
        <f>+'Balance Sheet'!L2+'Balance Sheet'!L3</f>
        <v>14666.35</v>
      </c>
      <c r="E12" s="57">
        <f t="shared" si="0"/>
        <v>13829.744999999999</v>
      </c>
      <c r="F12" s="59">
        <f t="shared" si="1"/>
        <v>11.38184398916972</v>
      </c>
      <c r="G12" s="55">
        <f>+'Balance Sheet'!K12</f>
        <v>248069.25</v>
      </c>
      <c r="H12" s="55">
        <f>+'Balance Sheet'!L12</f>
        <v>302686.95</v>
      </c>
      <c r="I12" s="57">
        <f t="shared" si="2"/>
        <v>275378.09999999998</v>
      </c>
      <c r="J12" s="60">
        <f t="shared" si="3"/>
        <v>0.57160681985967665</v>
      </c>
    </row>
    <row r="14" spans="1:13" x14ac:dyDescent="0.3">
      <c r="A14" s="54" t="s">
        <v>56</v>
      </c>
      <c r="B14" s="54" t="s">
        <v>5</v>
      </c>
      <c r="C14" s="54" t="s">
        <v>67</v>
      </c>
      <c r="D14" s="54" t="s">
        <v>66</v>
      </c>
      <c r="F14" s="54" t="s">
        <v>56</v>
      </c>
      <c r="G14" s="54" t="s">
        <v>69</v>
      </c>
      <c r="H14" s="54" t="s">
        <v>70</v>
      </c>
      <c r="J14" s="54" t="s">
        <v>56</v>
      </c>
      <c r="K14" s="54" t="s">
        <v>57</v>
      </c>
      <c r="L14" s="54" t="s">
        <v>69</v>
      </c>
      <c r="M14" s="54" t="s">
        <v>71</v>
      </c>
    </row>
    <row r="15" spans="1:13" x14ac:dyDescent="0.3">
      <c r="A15" s="55">
        <v>2014</v>
      </c>
      <c r="B15" s="56">
        <f>+'Balance Sheet'!B6</f>
        <v>52275</v>
      </c>
      <c r="C15" s="58">
        <v>1928</v>
      </c>
      <c r="D15" s="61">
        <f>+B15/C15</f>
        <v>27.113589211618258</v>
      </c>
      <c r="F15" s="55">
        <v>2014</v>
      </c>
      <c r="G15" s="62">
        <v>17407</v>
      </c>
      <c r="H15" s="63" t="s">
        <v>36</v>
      </c>
      <c r="J15" s="55">
        <v>2014</v>
      </c>
      <c r="K15" s="57">
        <v>725</v>
      </c>
      <c r="L15" s="55">
        <v>17407</v>
      </c>
      <c r="M15" s="65">
        <f>+(K15/L15)*100</f>
        <v>4.164991095536279</v>
      </c>
    </row>
    <row r="16" spans="1:13" x14ac:dyDescent="0.3">
      <c r="A16" s="55">
        <f>+A15+1</f>
        <v>2015</v>
      </c>
      <c r="B16" s="56">
        <f>+'Balance Sheet'!C6</f>
        <v>69308.52</v>
      </c>
      <c r="C16" s="58">
        <v>2541.2800000000002</v>
      </c>
      <c r="D16" s="61">
        <f t="shared" ref="D16:D25" si="5">+B16/C16</f>
        <v>27.273074985833912</v>
      </c>
      <c r="F16" s="55">
        <v>2015</v>
      </c>
      <c r="G16" s="55">
        <v>27293</v>
      </c>
      <c r="H16" s="64">
        <f>+(G16-G15)/G15*100</f>
        <v>56.793244097202276</v>
      </c>
      <c r="J16" s="55">
        <v>2015</v>
      </c>
      <c r="K16" s="55">
        <v>785.51</v>
      </c>
      <c r="L16" s="55">
        <v>27293</v>
      </c>
      <c r="M16" s="65">
        <f t="shared" ref="M16:M25" si="6">+(K16/L16)*100</f>
        <v>2.8780639724471477</v>
      </c>
    </row>
    <row r="17" spans="1:13" x14ac:dyDescent="0.3">
      <c r="A17" s="55">
        <f t="shared" ref="A17:A25" si="7">+A16+1</f>
        <v>2016</v>
      </c>
      <c r="B17" s="56">
        <f>+'Balance Sheet'!D6</f>
        <v>76544.38</v>
      </c>
      <c r="C17" s="58">
        <v>3103.49</v>
      </c>
      <c r="D17" s="61">
        <f t="shared" si="5"/>
        <v>24.663968628866215</v>
      </c>
      <c r="F17" s="55">
        <v>2016</v>
      </c>
      <c r="G17" s="55">
        <v>18248</v>
      </c>
      <c r="H17" s="64">
        <f t="shared" ref="H17:H25" si="8">+(G17-G16)/G16*100</f>
        <v>-33.140365661524932</v>
      </c>
      <c r="J17" s="55">
        <v>2016</v>
      </c>
      <c r="K17" s="55">
        <v>816.79</v>
      </c>
      <c r="L17" s="55">
        <v>18248</v>
      </c>
      <c r="M17" s="65">
        <f t="shared" si="6"/>
        <v>4.4760521701008322</v>
      </c>
    </row>
    <row r="18" spans="1:13" x14ac:dyDescent="0.3">
      <c r="A18" s="55">
        <f t="shared" si="7"/>
        <v>2017</v>
      </c>
      <c r="B18" s="56">
        <f>+'Balance Sheet'!E6</f>
        <v>95096.57</v>
      </c>
      <c r="C18" s="58">
        <v>3826.3199999999997</v>
      </c>
      <c r="D18" s="61">
        <f t="shared" si="5"/>
        <v>24.853271550732824</v>
      </c>
      <c r="F18" s="55">
        <v>2017</v>
      </c>
      <c r="G18" s="55">
        <v>30785</v>
      </c>
      <c r="H18" s="64">
        <f t="shared" si="8"/>
        <v>68.703419552827711</v>
      </c>
      <c r="J18" s="55">
        <v>2017</v>
      </c>
      <c r="K18" s="55">
        <v>886.92</v>
      </c>
      <c r="L18" s="55">
        <v>30785</v>
      </c>
      <c r="M18" s="65">
        <f t="shared" si="6"/>
        <v>2.8810134805911969</v>
      </c>
    </row>
    <row r="19" spans="1:13" x14ac:dyDescent="0.3">
      <c r="A19" s="55">
        <f t="shared" si="7"/>
        <v>2018</v>
      </c>
      <c r="B19" s="56">
        <f>+'Balance Sheet'!F6</f>
        <v>110482.82</v>
      </c>
      <c r="C19" s="58">
        <v>4705.1099999999997</v>
      </c>
      <c r="D19" s="61">
        <f t="shared" si="5"/>
        <v>23.48145314349718</v>
      </c>
      <c r="F19" s="55">
        <v>2018</v>
      </c>
      <c r="G19" s="55">
        <v>32541</v>
      </c>
      <c r="H19" s="64">
        <f t="shared" si="8"/>
        <v>5.7040766607113849</v>
      </c>
      <c r="J19" s="55">
        <v>2018</v>
      </c>
      <c r="K19" s="55">
        <v>1107.2</v>
      </c>
      <c r="L19" s="55">
        <v>32541</v>
      </c>
      <c r="M19" s="65">
        <f t="shared" si="6"/>
        <v>3.4024768753265113</v>
      </c>
    </row>
    <row r="20" spans="1:13" x14ac:dyDescent="0.3">
      <c r="A20" s="55">
        <f t="shared" si="7"/>
        <v>2019</v>
      </c>
      <c r="B20" s="56">
        <f>+'Balance Sheet'!G6</f>
        <v>130020.41</v>
      </c>
      <c r="C20" s="58">
        <v>5642.6</v>
      </c>
      <c r="D20" s="61">
        <f t="shared" si="5"/>
        <v>23.042641690001062</v>
      </c>
      <c r="F20" s="55">
        <v>2019</v>
      </c>
      <c r="G20" s="55">
        <v>38990</v>
      </c>
      <c r="H20" s="64">
        <f t="shared" si="8"/>
        <v>19.818075658400172</v>
      </c>
      <c r="J20" s="55">
        <v>2019</v>
      </c>
      <c r="K20" s="55">
        <v>1277.93</v>
      </c>
      <c r="L20" s="55">
        <v>38990</v>
      </c>
      <c r="M20" s="65">
        <f t="shared" si="6"/>
        <v>3.2775839958963839</v>
      </c>
    </row>
    <row r="21" spans="1:13" x14ac:dyDescent="0.3">
      <c r="A21" s="55">
        <f t="shared" si="7"/>
        <v>2020</v>
      </c>
      <c r="B21" s="56">
        <f>+'Balance Sheet'!H6</f>
        <v>132223.85</v>
      </c>
      <c r="C21" s="58">
        <v>6806.62</v>
      </c>
      <c r="D21" s="61">
        <f t="shared" si="5"/>
        <v>19.42577226288525</v>
      </c>
      <c r="F21" s="55">
        <v>2020</v>
      </c>
      <c r="G21" s="55">
        <v>29749</v>
      </c>
      <c r="H21" s="64">
        <f t="shared" si="8"/>
        <v>-23.700948961272118</v>
      </c>
      <c r="J21" s="55">
        <v>2020</v>
      </c>
      <c r="K21" s="55">
        <v>1297.44</v>
      </c>
      <c r="L21" s="55">
        <v>29749</v>
      </c>
      <c r="M21" s="65">
        <f t="shared" si="6"/>
        <v>4.3612894551077348</v>
      </c>
    </row>
    <row r="22" spans="1:13" x14ac:dyDescent="0.3">
      <c r="A22" s="55">
        <f t="shared" si="7"/>
        <v>2021</v>
      </c>
      <c r="B22" s="56">
        <f>+'Balance Sheet'!I6</f>
        <v>179655.04000000001</v>
      </c>
      <c r="C22" s="58">
        <v>8639.7900000000009</v>
      </c>
      <c r="D22" s="61">
        <f t="shared" si="5"/>
        <v>20.79391281501055</v>
      </c>
      <c r="F22" s="55">
        <v>2021</v>
      </c>
      <c r="G22" s="55">
        <v>71973</v>
      </c>
      <c r="H22" s="64">
        <f t="shared" si="8"/>
        <v>141.93418266160208</v>
      </c>
      <c r="J22" s="55">
        <v>2021</v>
      </c>
      <c r="K22" s="55">
        <v>1360.87</v>
      </c>
      <c r="L22" s="55">
        <v>71973</v>
      </c>
      <c r="M22" s="65">
        <f t="shared" si="6"/>
        <v>1.8908062745751877</v>
      </c>
    </row>
    <row r="23" spans="1:13" x14ac:dyDescent="0.3">
      <c r="A23" s="55">
        <f t="shared" si="7"/>
        <v>2022</v>
      </c>
      <c r="B23" s="56">
        <f>+'Balance Sheet'!J6</f>
        <v>230734.45</v>
      </c>
      <c r="C23" s="58">
        <v>15613.329999999998</v>
      </c>
      <c r="D23" s="61">
        <f t="shared" si="5"/>
        <v>14.778042224176396</v>
      </c>
      <c r="F23" s="55">
        <v>2022</v>
      </c>
      <c r="G23" s="55">
        <v>67892</v>
      </c>
      <c r="H23" s="64">
        <f t="shared" si="8"/>
        <v>-5.6701818737582146</v>
      </c>
      <c r="J23" s="55">
        <v>2022</v>
      </c>
      <c r="K23" s="55">
        <v>1326.93</v>
      </c>
      <c r="L23" s="55">
        <v>67892</v>
      </c>
      <c r="M23" s="65">
        <f t="shared" si="6"/>
        <v>1.9544718081659105</v>
      </c>
    </row>
    <row r="24" spans="1:13" x14ac:dyDescent="0.3">
      <c r="A24" s="55">
        <f t="shared" si="7"/>
        <v>2023</v>
      </c>
      <c r="B24" s="56">
        <f>+'Balance Sheet'!K6</f>
        <v>248069.25</v>
      </c>
      <c r="C24" s="58">
        <v>12993.14</v>
      </c>
      <c r="D24" s="61">
        <f t="shared" si="5"/>
        <v>19.092324872971432</v>
      </c>
      <c r="F24" s="55">
        <v>2023</v>
      </c>
      <c r="G24" s="55">
        <v>71644</v>
      </c>
      <c r="H24" s="64">
        <f t="shared" si="8"/>
        <v>5.5264243209803805</v>
      </c>
      <c r="J24" s="55">
        <v>2023</v>
      </c>
      <c r="K24" s="55">
        <v>1368.28</v>
      </c>
      <c r="L24" s="55">
        <v>71644</v>
      </c>
      <c r="M24" s="65">
        <f t="shared" si="6"/>
        <v>1.9098319468483054</v>
      </c>
    </row>
    <row r="25" spans="1:13" x14ac:dyDescent="0.3">
      <c r="A25" s="55">
        <f t="shared" si="7"/>
        <v>2024</v>
      </c>
      <c r="B25" s="56">
        <f>+'Balance Sheet'!L6</f>
        <v>302686.95</v>
      </c>
      <c r="C25" s="58">
        <f>+'Balance Sheet'!L2+'Balance Sheet'!L3</f>
        <v>14666.35</v>
      </c>
      <c r="D25" s="61">
        <f t="shared" si="5"/>
        <v>20.638192188240428</v>
      </c>
      <c r="F25" s="55">
        <v>2024</v>
      </c>
      <c r="G25" s="55">
        <v>102007</v>
      </c>
      <c r="H25" s="64">
        <f t="shared" si="8"/>
        <v>42.380380771592876</v>
      </c>
      <c r="J25" s="55">
        <v>2024</v>
      </c>
      <c r="K25" s="55">
        <v>1574.08</v>
      </c>
      <c r="L25" s="55">
        <v>102007</v>
      </c>
      <c r="M25" s="65">
        <f t="shared" si="6"/>
        <v>1.5431097865832737</v>
      </c>
    </row>
  </sheetData>
  <mergeCells count="1">
    <mergeCell ref="A1:J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952D5-F6B2-4604-B2E8-A099109FB4D0}">
  <sheetPr>
    <tabColor theme="0" tint="-0.499984740745262"/>
  </sheetPr>
  <dimension ref="A1"/>
  <sheetViews>
    <sheetView showGridLines="0" zoomScale="55" zoomScaleNormal="55" workbookViewId="0">
      <selection activeCell="AE6" sqref="AE6"/>
    </sheetView>
  </sheetViews>
  <sheetFormatPr defaultRowHeight="14.4" x14ac:dyDescent="0.3"/>
  <sheetData/>
  <printOptions horizontalCentered="1" verticalCentered="1"/>
  <pageMargins left="0.70866141732283472" right="0.70866141732283472" top="0.74803149606299213" bottom="0.74803149606299213" header="0.31496062992125984" footer="0.31496062992125984"/>
  <pageSetup paperSize="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Basic Info</vt:lpstr>
      <vt:lpstr>Income Statement</vt:lpstr>
      <vt:lpstr>Balance Sheet</vt:lpstr>
      <vt:lpstr>Comp. Statement</vt:lpstr>
      <vt:lpstr>Common Size</vt:lpstr>
      <vt:lpstr>Trend Analysis</vt:lpstr>
      <vt:lpstr>Ratios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Kishan</cp:lastModifiedBy>
  <cp:lastPrinted>2024-11-13T17:38:44Z</cp:lastPrinted>
  <dcterms:created xsi:type="dcterms:W3CDTF">2024-09-27T05:41:34Z</dcterms:created>
  <dcterms:modified xsi:type="dcterms:W3CDTF">2026-03-08T09:12:59Z</dcterms:modified>
</cp:coreProperties>
</file>